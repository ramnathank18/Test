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17"/>
  <workbookPr/>
  <mc:AlternateContent xmlns:mc="http://schemas.openxmlformats.org/markup-compatibility/2006">
    <mc:Choice Requires="x15">
      <x15ac:absPath xmlns:x15ac="http://schemas.microsoft.com/office/spreadsheetml/2010/11/ac" url="C:\Users\NagaSowmya\Documents\"/>
    </mc:Choice>
  </mc:AlternateContent>
  <xr:revisionPtr revIDLastSave="0" documentId="8_{63A73032-E8FC-411D-B0BE-DA5445CDC35B}" xr6:coauthVersionLast="47" xr6:coauthVersionMax="47" xr10:uidLastSave="{00000000-0000-0000-0000-000000000000}"/>
  <bookViews>
    <workbookView xWindow="0" yWindow="0" windowWidth="19200" windowHeight="7190" firstSheet="1" activeTab="1" xr2:uid="{00000000-000D-0000-FFFF-FFFF00000000}"/>
  </bookViews>
  <sheets>
    <sheet name="FACT_SERVICE_METRICS_V Date Col" sheetId="3" r:id="rId1"/>
    <sheet name="FACT_SERVICE_METRICS_V Columns" sheetId="5" r:id="rId2"/>
    <sheet name="Only Sales order columns" sheetId="4" r:id="rId3"/>
  </sheets>
  <definedNames>
    <definedName name="_xlnm._FilterDatabase" localSheetId="0" hidden="1">'FACT_SERVICE_METRICS_V Date Col'!$A$1:$C$1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3" l="1"/>
  <c r="F17" i="3"/>
  <c r="C40" i="3" l="1"/>
  <c r="C41" i="3"/>
  <c r="C39" i="3"/>
</calcChain>
</file>

<file path=xl/sharedStrings.xml><?xml version="1.0" encoding="utf-8"?>
<sst xmlns="http://schemas.openxmlformats.org/spreadsheetml/2006/main" count="629" uniqueCount="367">
  <si>
    <t xml:space="preserve">Column Name </t>
  </si>
  <si>
    <t>Data Type</t>
  </si>
  <si>
    <t>Logic in FACT_SERVICE_METRICS_V</t>
  </si>
  <si>
    <t>Logic in FACT_SERVICE_METRICS</t>
  </si>
  <si>
    <t>Columns in Sales order fact</t>
  </si>
  <si>
    <t>Logic in SO</t>
  </si>
  <si>
    <t>Final Source</t>
  </si>
  <si>
    <t>BUFFERED_DELIVERY_TIME_LOCAL</t>
  </si>
  <si>
    <t>TIMESTAMP</t>
  </si>
  <si>
    <t>BUFFERED_APPOINTMENT_TIME</t>
  </si>
  <si>
    <t>CASE
                WHEN LOAD_TYPE = 'CustomerPickup'
                    OR CARRIER_NAME = 'WAL-MART TRANSPORTATION, INC.'
                    OR ( S_VIEW.CUSTOMER = 'TALKING RAIN BEVERAGE COMPANY, INC.'
                   AND CARRIER_NAME = 'HARALAMBOS BEVERAGE CO' ) THEN FINAL_REQUEST_DATE
                ELSE
                    CASE
                            WHEN DELIVERY_WINDOW_END IS NOT NULL
                               AND ( DELIVERY_WINDOW_END &gt; DELIVERY_APPOINTMENT
                                OR DELIVERY_APPOINTMENT IS NULL ) THEN DELIVERY_WINDOW_END
                            WHEN DELIVERY_APPOINTMENT IS NOT NULL
                               AND BUFFER_TIME_MINUTES IS NOT NULL THEN TIMESTAMPADD( MINUTE,BUFFER_TIME_MINUTES,DELIVERY_APPOINTMENT)
                            WHEN DELIVERY_APPOINTMENT IS NOT NULL THEN TIMESTAMPADD( HOUR,1,DELIVERY_APPOINTMENT )
                            ELSE NULL
                    END
            END  BUFFERED_APPOINTMENT_TIME</t>
  </si>
  <si>
    <t>All these columns are listed seperately                                                                                                                                                                                                                                                                FINAL_REQUEST_DATE                                                                                                                                                                                                                                                                DELIVERY_APPOINTMENT - APPOINTMENT_DELIVERY_LOCAL
                                                                                                                                                                                                                                                                DELIVERY_WINDOW_END -
LATE_DELIVERY_DATE_LOCAL</t>
  </si>
  <si>
    <t>CHECK_IN_TIME_LOCAL</t>
  </si>
  <si>
    <t>plp4 -&gt; plp1-&gt;NBL_E80_MANH_DW_CICO.FACT_CHECKIN_CHECKOUT</t>
  </si>
  <si>
    <t>NBL_E80_MANH_DW_CICO.CHECKIN_CHECKOUT_MANH all G1 to G 10 tables and E80 tables</t>
  </si>
  <si>
    <t>CHECK_IN_TIME_PST</t>
  </si>
  <si>
    <t>CHECK_IN_TIME</t>
  </si>
  <si>
    <t>from_utc_timestamp(
             to_utc_timestamp(
                 CC_FS.CHECK_IN_TIME_LOCAL, 
                 COALESCE(HR_ORG.X_TIME_ZONE_GID, 'America/Los_Angeles')
             ), 
             'America/Los_Angeles'
         )  --from above check in time local converting value to PST based on local timezone</t>
  </si>
  <si>
    <t>CHECK_OUT_TIME_LOCAL</t>
  </si>
  <si>
    <t>CHECK_OUT_TIME_PST</t>
  </si>
  <si>
    <t>CHECK_OUT_TIME</t>
  </si>
  <si>
    <t>from_utc_timestamp(
             to_utc_timestamp(
                 CC_FS.CHECK_OUT_TIME_LOCAL, 
                 COALESCE(HR_ORG.X_TIME_ZONE_GID, 'America/Los_Angeles')
             ), 
             'America/Los_Angeles'
         )  --from above check out time converting value to PST based on local timezone</t>
  </si>
  <si>
    <t>CLOSE_TRAILER</t>
  </si>
  <si>
    <t>plp4 -&gt; plp1-&gt;NBL_E80_MANH_DW_CICO.FACT_CHECKIN_CHECKOUT--CLOSE_TRAILER_TIME_PST</t>
  </si>
  <si>
    <t>from_utc_timestamp(
             to_utc_timestamp(
                 CC_FS.CLOSE_TRAILER_TIME_LOCAL, 
                 COALESCE(HR_ORG.X_TIME_ZONE_GID, 'America/Los_Angeles')
             ), 
             'America/Los_Angeles'
         )
 END AS CLOSE_TRAILER_TIME_PST --from below close trailer local converting value to PST based on local timezone</t>
  </si>
  <si>
    <t>CLOSE_TRAILER_LOCAL</t>
  </si>
  <si>
    <t>plp4 -&gt; plp1-&gt;NBL_E80_MANH_DW_CICO.FACT_CHECKIN_CHECKOUT--CLOSE_TRAILER_TIME_LOCAL</t>
  </si>
  <si>
    <t>DELIVERY_APPOINTMENT_LOCAL</t>
  </si>
  <si>
    <t>DELIVERY_APPOINTMENT</t>
  </si>
  <si>
    <t>APPOINTMENT_DELIVERY_LOCAL</t>
  </si>
  <si>
    <t>plp2 (SALESORDERLINEFACT_SHIPMENTACTIVITYFLOW_UPDATE)-&gt; plp2(SHIPMENTACTIVITYFACT_SHIPMENTSTOPFLOW2_UPDATE_PLP) -&gt; NBL_OTM_DW.FACT_SHIPMENT_STOP</t>
  </si>
  <si>
    <t>convert APPOINTMENT_DELIVERY to local or pst
from_utc_timestamp(WC_SHIPMENT_STOP_FS.APPOINTMENT_DELIVERY,COALESCE(WC_SHIPMENT_STOP_FS.TIME_ZONE_GID, 'PST')) 
Source for APPOINTMENT_DELIVERY is NBL_OTM_SHIPMENTTABLES.SHIPMENT_STOP</t>
  </si>
  <si>
    <t>DELIVERY_APPOINTMENT_PST</t>
  </si>
  <si>
    <t>APPOINTMENT_DELIVERY_PST</t>
  </si>
  <si>
    <t>from_utc_timestamp(WC_SHIPMENT_STOP_FS.APPOINTMENT_DELIVERY, 'PST') AS APPOINTMENT_DELIVERY_PST
Same as above converting to PST.Source column is same</t>
  </si>
  <si>
    <t>DELIVERY_WINDOW_END_LOCAL</t>
  </si>
  <si>
    <t>DELIVERY_WINDOW_END</t>
  </si>
  <si>
    <r>
      <t xml:space="preserve">CASE WHEN OA.EARLY_DELIVERY_DATE_LOCAL &lt;&gt; OA.LATE_DELIVERY_DATE_LOCAL THEN </t>
    </r>
    <r>
      <rPr>
        <b/>
        <sz val="11"/>
        <color theme="1"/>
        <rFont val="Calibri"/>
        <family val="2"/>
        <scheme val="minor"/>
      </rPr>
      <t>OA.LATE_DELIVERY_DATE_LOCAL</t>
    </r>
    <r>
      <rPr>
        <sz val="11"/>
        <color theme="1"/>
        <rFont val="Calibri"/>
        <family val="2"/>
        <scheme val="minor"/>
      </rPr>
      <t xml:space="preserve"> ELSE NULL END DELIVERY_WINDOW_END</t>
    </r>
  </si>
  <si>
    <t>LATE_DELIVERY_DATE_LOCAL</t>
  </si>
  <si>
    <t>plp2 (SALESORDERLINEFACT_SHIPMENTACTIVITYFLOW_UPDATE)-&gt; FACT_SHIPMENT_ACTIVITY_STG2(Conversion happens om LATE_DELIVERY_DATE to local/pst)</t>
  </si>
  <si>
    <t>NBL_OTM_ORDERRELEASE.ORDER_RELEASE</t>
  </si>
  <si>
    <t>DELIVERY_WINDOW_END_PST</t>
  </si>
  <si>
    <r>
      <t>CASE WHEN OA.EARLY_DELIVERY_DATE_PST &lt;&gt; OA.LATE_DELIVERY_DATE_PST THEN OA</t>
    </r>
    <r>
      <rPr>
        <b/>
        <sz val="11"/>
        <color theme="1"/>
        <rFont val="Calibri"/>
        <family val="2"/>
        <scheme val="minor"/>
      </rPr>
      <t>.LATE_DELIVERY_DATE_PST</t>
    </r>
    <r>
      <rPr>
        <sz val="11"/>
        <color theme="1"/>
        <rFont val="Calibri"/>
        <family val="2"/>
        <scheme val="minor"/>
      </rPr>
      <t xml:space="preserve"> ELSE NULL END DELIVERY_WINDOW_END_LOCAL</t>
    </r>
  </si>
  <si>
    <t>LATE_DELIVERY_DATE_PST</t>
  </si>
  <si>
    <t>plp2 (SALESORDERLINEFACT_SHIPMENTACTIVITYFLOW_UPDATE)-&gt; FACT_SHIPMENT_ACTIVITY_STG2(Conversion happens om LATE_DELIVERY_DATE to PST</t>
  </si>
  <si>
    <t>DELIVERY_WINDOW_START_LOCAL</t>
  </si>
  <si>
    <t>DELIVERY_WINDOW_START</t>
  </si>
  <si>
    <r>
      <t>CASE WHEN OA.EARLY_DELIVERY_DATE_LOCAL &lt;&gt; OA.LATE_DELIVERY_DATE_LOCAL THEN OA.</t>
    </r>
    <r>
      <rPr>
        <b/>
        <sz val="11"/>
        <color theme="1"/>
        <rFont val="Calibri"/>
        <family val="2"/>
        <scheme val="minor"/>
      </rPr>
      <t>EARLY_DELIVERY_DATE_LOCAL</t>
    </r>
    <r>
      <rPr>
        <sz val="11"/>
        <color theme="1"/>
        <rFont val="Calibri"/>
        <family val="2"/>
        <scheme val="minor"/>
      </rPr>
      <t xml:space="preserve"> ELSE NULL END DELIVERY_WINDOW_START,</t>
    </r>
  </si>
  <si>
    <t>EARLY_DELIVERY_DATE_LOCAL</t>
  </si>
  <si>
    <t>plp2 (SALESORDERLINEFACT_SHIPMENTACTIVITYFLOW_UPDATE)-&gt; FACT_SHIPMENT_ACTIVITY_STG2(Conversion happens om EARLY_DELIVERY_DATE to LOCAL/PST</t>
  </si>
  <si>
    <t>NBL_OTM_ORDERRELEASE.ORDER_RELEASE_2</t>
  </si>
  <si>
    <t>DELIVERY_WINDOW_START_PST</t>
  </si>
  <si>
    <r>
      <t>CASE WHEN OA.EARLY_DELIVERY_DATE_PST &lt;&gt; OA.LATE_DELIVERY_DATE_PST THEN OA.</t>
    </r>
    <r>
      <rPr>
        <b/>
        <sz val="11"/>
        <color theme="1"/>
        <rFont val="Calibri"/>
        <family val="2"/>
        <scheme val="minor"/>
      </rPr>
      <t>EARLY_DELIVERY_DATE_PST</t>
    </r>
    <r>
      <rPr>
        <sz val="11"/>
        <color theme="1"/>
        <rFont val="Calibri"/>
        <family val="2"/>
        <scheme val="minor"/>
      </rPr>
      <t xml:space="preserve"> ELSE NULL END DELIVERY_WINDOW_START_LOCAL</t>
    </r>
  </si>
  <si>
    <t>EARLY_DELIVERY_DATE_PST</t>
  </si>
  <si>
    <t>plp2 (SALESORDERLINEFACT_SHIPMENTACTIVITYFLOW_UPDATE)-&gt; FACT_SHIPMENT_ACTIVITY_STG2(Conversion happens om EARLY_DELIVERY_DATE to PST</t>
  </si>
  <si>
    <t>DESTINATION_DEPARTURE214</t>
  </si>
  <si>
    <t>LOCAL_ACTUAL_DEPARTURE</t>
  </si>
  <si>
    <t>DEST_ACTUAL_DEPARTURE_LOCAL</t>
  </si>
  <si>
    <t>plp2 (SALESORDERLINEFACT_SHIPMENTACTIVITYFLOW_UPDATE)-&gt; plp2(SHIPMENTACTIVITYFACT_SHIPMENTSTOPFLOW2_UPDATE_PLP) -&gt; NBL_OTM_DW.FACT_SHIPMENT_STOP.ACTUAL_DEPARTURE_LOCAL</t>
  </si>
  <si>
    <t xml:space="preserve">NBL_OTM_SHIPMENTTABLES.SHIPMENT_STOP.ACTUAL_DEPARTURE
This date is converted to local/pst
from_utc_timestamp(WC_SHIPMENT_STOP_FS.ACTUAL_DEPARTURE,COALESCE(WC_SHIPMENT_STOP_FS.TIME_ZONE_GID, 'PST'))
</t>
  </si>
  <si>
    <t>DOCK_DOOR_ALLOCATION</t>
  </si>
  <si>
    <t>plp4(SALESORDERLINESFACT_TRANSPORTATIONACTIVITY_UPDATE_PLP) - plp1(TRANSPORTATIONACTIVITYFACT_CHECKINCHECKOUT_UPDATE_PLP)-NBL_E80_MANH_DW_CICO.FACT_CHECKIN_CHECKOUT.DOCK_DOOR_ALLOCATION_LOCAL</t>
  </si>
  <si>
    <t>NBL_E80_MANH_DW_CICO.CHECKIN_CHECKOUT_MANH all G1 to G 10 tables and E80 tables
from_utc_timestamp(
             to_utc_timestamp(
                 CC_FS.DOCK_DOOR_ALLOCATION_LOCAL, 
                 COALESCE(HR_ORG.X_TIME_ZONE_GID, 'America/Los_Angeles')
             ), 
             'America/Los_Angeles'
         )</t>
  </si>
  <si>
    <t>EARLY_DELIVERY_DATE</t>
  </si>
  <si>
    <t>EARLY_PICKUP_DATE</t>
  </si>
  <si>
    <t>EARLY_PICKUP_DATE_LOCAL</t>
  </si>
  <si>
    <t>plp2 (SALESORDERLINEFACT_SHIPMENTACTIVITYFLOW_UPDATE)-&gt; FACT_SHIPMENT_ACTIVITY_STG2 --&gt; stg1 --&gt; COALESCE(EBS.EARLIEST_PICKUP_DATE, OTM.EARLIEST_PICKUP_DATE)</t>
  </si>
  <si>
    <t>EBS - WDD.DELIVERYLINEPEOEARLIESTPICKUPDATE
OTM - ORH.EARLY_PICKUP_DATE(NBL_OTM_ORDERRELEASE.ORDER_RELEASE)</t>
  </si>
  <si>
    <t>FINAL_PROMISE_DATE_LOCAL</t>
  </si>
  <si>
    <t>FINAL_CUSTOMER_AGREED_DATE</t>
  </si>
  <si>
    <t>FINAL_PROMISE_DATE_PST</t>
  </si>
  <si>
    <t>from_utc_timestamp(
        S.FINAL_CUSTOMER_AGREED_DATE,
        CASE 
            WHEN LOC_TZ_D.TIME_ZONE_GID IS NULL 
                 OR LOC_TZ_D.TIME_ZONE_GID = 'Unspecified'
                THEN 'America/Los_Angeles'
            ELSE LOC_TZ_D.TIME_ZONE_GID
        END
    )</t>
  </si>
  <si>
    <t>FINAL_REQUEST_DATE_LOCAL</t>
  </si>
  <si>
    <t>FINAL_REQUEST_DATE</t>
  </si>
  <si>
    <t>X_REQUEST_DATE - Calculation exists</t>
  </si>
  <si>
    <t>X_REQUEST_DATE</t>
  </si>
  <si>
    <t>FINAL_REQUEST_DATE_PST</t>
  </si>
  <si>
    <t>X_FINAL_REQUEST_DATE_PST</t>
  </si>
  <si>
    <t>FIRST_LOAD_TIME</t>
  </si>
  <si>
    <t>plp4(SALESORDERLINESFACT_TRANSPORTATIONACTIVITY_UPDATE_PLP) - plp1(TRANSPORTATIONACTIVITYFACT_CHECKINCHECKOUT_UPDATE_PLP)-NBL_E80_MANH_DW_CICO.FACT_CHECKIN_CHECKOUT.FIRST_LOAD_TIME_LOCAL</t>
  </si>
  <si>
    <t>NBL_E80_MANH_DW_CICO.CHECKIN_CHECKOUT_MANH all G1 to G 10 tables and E80 tables.
FIRST_LOAD_TIME_LOCAL</t>
  </si>
  <si>
    <t>HISTORICAL_CREATION_DATE_PST</t>
  </si>
  <si>
    <t>HIST_CREATION_DATE</t>
  </si>
  <si>
    <t>CREATED_ON_DT/HIST_CREATION_DATE</t>
  </si>
  <si>
    <t>LAST_LOAD_TIME</t>
  </si>
  <si>
    <t>plp4(SALESORDERLINESFACT_TRANSPORTATIONACTIVITY_UPDATE_PLP) - plp1(TRANSPORTATIONACTIVITYFACT_CHECKINCHECKOUT_UPDATE_PLP)-NBL_E80_MANH_DW_CICO.FACT_CHECKIN_CHECKOUT.CLOSE_TRAILER_TIME_LOCAL</t>
  </si>
  <si>
    <t>LAST_STOP_ACTUAL_ARRIVAL</t>
  </si>
  <si>
    <t>LOCAL_ARRIVAL_DATE_214</t>
  </si>
  <si>
    <r>
      <t>LEAST(
    CAST(COALESCE(WC_214_TMP.DATE_214, OA</t>
    </r>
    <r>
      <rPr>
        <b/>
        <sz val="11"/>
        <color theme="1"/>
        <rFont val="Calibri"/>
        <family val="2"/>
        <scheme val="minor"/>
      </rPr>
      <t>.X1_STATUS_DATE_WEB_LOCAL</t>
    </r>
    <r>
      <rPr>
        <sz val="11"/>
        <color theme="1"/>
        <rFont val="Calibri"/>
        <family val="2"/>
        <scheme val="minor"/>
      </rPr>
      <t>, OA.</t>
    </r>
    <r>
      <rPr>
        <b/>
        <sz val="11"/>
        <color theme="1"/>
        <rFont val="Calibri"/>
        <family val="2"/>
        <scheme val="minor"/>
      </rPr>
      <t>X1_STATUS_DATE_214_LOCAL</t>
    </r>
    <r>
      <rPr>
        <sz val="11"/>
        <color theme="1"/>
        <rFont val="Calibri"/>
        <family val="2"/>
        <scheme val="minor"/>
      </rPr>
      <t>) AS TIMESTAMP),
    CAST(COALESCE(WC_214_TMP.DATE_214, OA.X1_STATUS_DATE_214_LOCAL, OA.X1_STATUS_DATE_WEB_LOCAL) AS TIMESTAMP)
   ) AS LOCAL_ARRIVAL_DATE_214,</t>
    </r>
  </si>
  <si>
    <t>X1_STATUS_DATE_WEB_LOCAL
X1_STATUS_DATE_214_LOCAL</t>
  </si>
  <si>
    <t>LAST_STOP_ACTUAL_ARRIVAL_LOCAL</t>
  </si>
  <si>
    <t>case
    when
      order_number like '4%'
    then
      from_utc_timestamp(S.LOCAL_ARRIVAL_DATE_214, 'America/Los_Angeles')
    else S.LOCAL_ARRIVAL_DATE_214
  end</t>
  </si>
  <si>
    <t>LOCAL_ARRIVAL_DATE_214 -Above column</t>
  </si>
  <si>
    <t>LAST_STOP_ACTUAL_DEPARTURE</t>
  </si>
  <si>
    <t>Repeat</t>
  </si>
  <si>
    <t>LATE_DELIVERY_DATE</t>
  </si>
  <si>
    <t>LINE_CREATED_ON_DT</t>
  </si>
  <si>
    <t>CREATED_ON_DT_SRC_TZ</t>
  </si>
  <si>
    <t>X_CREATED_ON_DT_SRC_TZ</t>
  </si>
  <si>
    <t xml:space="preserve">
CASE 
    WHEN LENGTH(NVL(DIM_HR_ORG_A15.X_TIME_ZONE_GID,'-')) &lt;= 1 
        THEN SOL.CREATED_ON_DT
    ELSE FROM_UTC_TIMESTAMP(
             TO_UTC_TIMESTAMP(SOL.CREATED_ON_DT, 'PST'),
             DIM_HR_ORG_A15.X_TIME_ZONE_GID
         )
END</t>
  </si>
  <si>
    <t>DOO_LINES_ALL.LINECREATIONDATE  (as seen in prior column converted to src timezone)</t>
  </si>
  <si>
    <t>ORDER_CREATION_DATE_DEST</t>
  </si>
  <si>
    <t>DEST_ORDER_CREATION_DATE</t>
  </si>
  <si>
    <t>X_CREATED_ON_DT_CUST_TZ</t>
  </si>
  <si>
    <t>CASE 
    WHEN length(coalesce(WC_CUST_SITE_USE_D1_SHIP_TO.TIME_ZONE_GID, '-')) &lt;= 1 
        THEN SOL.CREATED_ON_DT
    ELSE 
        from_utc_timestamp(
            to_utc_timestamp(SOL.CREATED_ON_DT, 'America/Los_Angeles'),
            WC_CUST_SITE_USE_D1_SHIP_TO.TIME_ZONE_GID
        )
END AS X_CREATED_ON_DT_CUST_TZ</t>
  </si>
  <si>
    <t>DOO_LINES_ALL.LINECREATIONDATE  (as seen in prior column converted to cust shite timezone)</t>
  </si>
  <si>
    <t>ORDER_CREATION_DATE_LOCAL</t>
  </si>
  <si>
    <t>ORDER_CREATION_DATE_PST</t>
  </si>
  <si>
    <t>ORDER_CREATION_DATE</t>
  </si>
  <si>
    <t>CREATED_ON_DT</t>
  </si>
  <si>
    <t>ORDER_RELEASE_INSERT_DATE</t>
  </si>
  <si>
    <t>OR_INSERT_DATE_LOCAL</t>
  </si>
  <si>
    <t>ORDER_RELEASE_INSERT_DATE_PST</t>
  </si>
  <si>
    <t>OR_INSERT_DATE_PST</t>
  </si>
  <si>
    <t>ORDERED_ON_DT</t>
  </si>
  <si>
    <t>OREF_SCHEDULE_INSERT_DATE_LOCAL</t>
  </si>
  <si>
    <t>OREF_SCHEDULE_INSERT_DATE_PST</t>
  </si>
  <si>
    <t>OREF_SCHEDULE_UPDATE_DATE</t>
  </si>
  <si>
    <t>OREF_SCHEDULE_UPDATE_DATE_LOCAL</t>
  </si>
  <si>
    <t>OREF_SCHEDULE_UPDATE_DATE_PST</t>
  </si>
  <si>
    <t>ORIGINAL_REQUEST_DATE_LOCAL</t>
  </si>
  <si>
    <t>ORIGINAL_REQUEST_DATE</t>
  </si>
  <si>
    <t>REQUEST_DATE --Logic exists</t>
  </si>
  <si>
    <t>OA.REQUEST_DATE/Hist.REQUEST_DATE</t>
  </si>
  <si>
    <t>ORIGINAL_REQUEST_DATE_PST</t>
  </si>
  <si>
    <t>ORIGINAL_REQUEST_DATE --above column logic changed recently</t>
  </si>
  <si>
    <t>PICKUP_APPOINTMENT_DEST</t>
  </si>
  <si>
    <t>DEST_PICKUP_APPOINTMENT</t>
  </si>
  <si>
    <r>
      <t>CASE 
    WHEN C.COUNTRY_CODE = 'US' THEN 
     CASE 
      WHEN (IO.X_TIME_ZONE_GID = C.TIME_ZONE_GID 
       OR IO.X_TIME_ZONE_GID IN ('-', 'NULL', '','Unspecified') 
       OR C.TIME_ZONE_GID IN ('-', 'NULL', '','Unspecified'))
      THEN OA.</t>
    </r>
    <r>
      <rPr>
        <b/>
        <sz val="11"/>
        <color theme="1"/>
        <rFont val="Calibri"/>
        <family val="2"/>
        <scheme val="minor"/>
      </rPr>
      <t>APPOINTMENT_PICKUP_LOCAL</t>
    </r>
    <r>
      <rPr>
        <sz val="11"/>
        <color theme="1"/>
        <rFont val="Calibri"/>
        <family val="2"/>
        <scheme val="minor"/>
      </rPr>
      <t xml:space="preserve">
      ELSE to_timestamp(
        from_utc_timestamp(
         to_utc_timestamp(
          CAST(OA.APPOINTMENT_PICKUP_LOCAL AS TIMESTAMP),
          COALESCE(NULLIF(NULLIF(IO.X_TIME_ZONE_GID, '-'), 'Unspecified'), 'UTC')
         ),
         COALESCE(NULLIF(NULLIF(C.TIME_ZONE_GID, '-'), 'Unspecified'), 'UTC')
        )
       )
     END
    ELSE OA.</t>
    </r>
    <r>
      <rPr>
        <b/>
        <sz val="11"/>
        <color theme="1"/>
        <rFont val="Calibri"/>
        <family val="2"/>
        <scheme val="minor"/>
      </rPr>
      <t>APPOINTMENT_PICKUP_LOCAL</t>
    </r>
    <r>
      <rPr>
        <sz val="11"/>
        <color theme="1"/>
        <rFont val="Calibri"/>
        <family val="2"/>
        <scheme val="minor"/>
      </rPr>
      <t xml:space="preserve">
   END  AS DEST_PICKUP_APPOINTMENT</t>
    </r>
  </si>
  <si>
    <t>APPOINTMENT_PICKUP_LOCAL</t>
  </si>
  <si>
    <t>PICKUP_APPOINTMENT_LOCAL</t>
  </si>
  <si>
    <t>PICKUP_APPOINTMENT</t>
  </si>
  <si>
    <t>PICKUP_APPOINTMENT_PST</t>
  </si>
  <si>
    <t>APPOINTMENT_PICKUP_PST</t>
  </si>
  <si>
    <t>PROMISE_DATE_FROM</t>
  </si>
  <si>
    <t>CUSTOMER_AGREED_DATE_FROM</t>
  </si>
  <si>
    <r>
      <t xml:space="preserve">CASE 
    WHEN B.HISTORY_TYPE = 'CREATE' THEN </t>
    </r>
    <r>
      <rPr>
        <b/>
        <sz val="11"/>
        <color theme="1"/>
        <rFont val="Calibri"/>
        <family val="2"/>
        <scheme val="minor"/>
      </rPr>
      <t>B.REQUEST_DATE_TEMP</t>
    </r>
    <r>
      <rPr>
        <sz val="11"/>
        <color theme="1"/>
        <rFont val="Calibri"/>
        <family val="2"/>
        <scheme val="minor"/>
      </rPr>
      <t xml:space="preserve">
    WHEN SOURCE_APP_ID = 18 THEN B.CUSTOMER_AGRRED_DATE
    ELSE </t>
    </r>
    <r>
      <rPr>
        <b/>
        <sz val="11"/>
        <color theme="1"/>
        <rFont val="Calibri"/>
        <family val="2"/>
        <scheme val="minor"/>
      </rPr>
      <t>B.CUSTOMER_AGREED_DATE_TEMP</t>
    </r>
    <r>
      <rPr>
        <sz val="11"/>
        <color theme="1"/>
        <rFont val="Calibri"/>
        <family val="2"/>
        <scheme val="minor"/>
      </rPr>
      <t xml:space="preserve">
END AS CUSTOMER_AGREED_DATE_FROM</t>
    </r>
  </si>
  <si>
    <t>PROMISE_DATE_TO</t>
  </si>
  <si>
    <t>CUSTOMER_AGREED_DATE_TO</t>
  </si>
  <si>
    <r>
      <t xml:space="preserve">CASE 
    WHEN B.HISTORY_TYPE = 'CREATE' THEN </t>
    </r>
    <r>
      <rPr>
        <b/>
        <sz val="11"/>
        <color theme="1"/>
        <rFont val="Calibri"/>
        <family val="2"/>
        <scheme val="minor"/>
      </rPr>
      <t>B.REQUEST_DATE_TEMP</t>
    </r>
    <r>
      <rPr>
        <sz val="11"/>
        <color theme="1"/>
        <rFont val="Calibri"/>
        <family val="2"/>
        <scheme val="minor"/>
      </rPr>
      <t xml:space="preserve">
    WHEN B.LATEST_CHANGE_FILTER = 'Y' THEN </t>
    </r>
    <r>
      <rPr>
        <b/>
        <sz val="11"/>
        <color theme="1"/>
        <rFont val="Calibri"/>
        <family val="2"/>
        <scheme val="minor"/>
      </rPr>
      <t>B.FINAL_CUSTOMER_AGREED_DATE</t>
    </r>
    <r>
      <rPr>
        <sz val="11"/>
        <color theme="1"/>
        <rFont val="Calibri"/>
        <family val="2"/>
        <scheme val="minor"/>
      </rPr>
      <t xml:space="preserve">
    WHEN SOURCE_APP_ID = 18 THEN B.CUSTOMER_AGREED_DATE_TEMP
    ELSE </t>
    </r>
    <r>
      <rPr>
        <b/>
        <sz val="11"/>
        <color theme="1"/>
        <rFont val="Calibri"/>
        <family val="2"/>
        <scheme val="minor"/>
      </rPr>
      <t>B.CUSTOMER_AGRRED_DATE</t>
    </r>
    <r>
      <rPr>
        <sz val="11"/>
        <color theme="1"/>
        <rFont val="Calibri"/>
        <family val="2"/>
        <scheme val="minor"/>
      </rPr>
      <t xml:space="preserve">
END AS CUSTOMER_AGREED_DATE_TO</t>
    </r>
  </si>
  <si>
    <t>REQUEST_DATE_FROM</t>
  </si>
  <si>
    <r>
      <t>CASE WHEN SOURCE_APP_ID = 18 THEN 
   CASE
    WHEN B.HISTORY_TYPE = 'CREATE' THEN B.</t>
    </r>
    <r>
      <rPr>
        <b/>
        <sz val="11"/>
        <color theme="1"/>
        <rFont val="Calibri"/>
        <family val="2"/>
        <scheme val="minor"/>
      </rPr>
      <t>REQUEST_DATE_TEMP</t>
    </r>
    <r>
      <rPr>
        <sz val="11"/>
        <color theme="1"/>
        <rFont val="Calibri"/>
        <family val="2"/>
        <scheme val="minor"/>
      </rPr>
      <t xml:space="preserve">
    ELSE B.</t>
    </r>
    <r>
      <rPr>
        <b/>
        <sz val="11"/>
        <color theme="1"/>
        <rFont val="Calibri"/>
        <family val="2"/>
        <scheme val="minor"/>
      </rPr>
      <t>REQUEST_DATE</t>
    </r>
    <r>
      <rPr>
        <sz val="11"/>
        <color theme="1"/>
        <rFont val="Calibri"/>
        <family val="2"/>
        <scheme val="minor"/>
      </rPr>
      <t xml:space="preserve">
   END 
   ELSE </t>
    </r>
    <r>
      <rPr>
        <b/>
        <sz val="11"/>
        <color theme="1"/>
        <rFont val="Calibri"/>
        <family val="2"/>
        <scheme val="minor"/>
      </rPr>
      <t>REQUEST_DATE_TEMP</t>
    </r>
    <r>
      <rPr>
        <sz val="11"/>
        <color theme="1"/>
        <rFont val="Calibri"/>
        <family val="2"/>
        <scheme val="minor"/>
      </rPr>
      <t xml:space="preserve"> END        
   AS REQUEST_DATE_FROM,</t>
    </r>
  </si>
  <si>
    <t>REQUEST_DATE_TO</t>
  </si>
  <si>
    <r>
      <t>CASE 
    WHEN B.LATEST_CHANGE_FILTER = 'Y' THEN B.</t>
    </r>
    <r>
      <rPr>
        <b/>
        <sz val="11"/>
        <color theme="1"/>
        <rFont val="Calibri"/>
        <family val="2"/>
        <scheme val="minor"/>
      </rPr>
      <t>FINAL_REQUEST_DATE</t>
    </r>
    <r>
      <rPr>
        <sz val="11"/>
        <color theme="1"/>
        <rFont val="Calibri"/>
        <family val="2"/>
        <scheme val="minor"/>
      </rPr>
      <t xml:space="preserve">
    WHEN SOURCE_APP_ID = 18 THEN B.REQUEST_DATE_TEMP
    ELSE </t>
    </r>
    <r>
      <rPr>
        <b/>
        <sz val="11"/>
        <color theme="1"/>
        <rFont val="Calibri"/>
        <family val="2"/>
        <scheme val="minor"/>
      </rPr>
      <t>B.REQUEST_DATE</t>
    </r>
    <r>
      <rPr>
        <sz val="11"/>
        <color theme="1"/>
        <rFont val="Calibri"/>
        <family val="2"/>
        <scheme val="minor"/>
      </rPr>
      <t xml:space="preserve">
END AS REQUEST_DATE_TO</t>
    </r>
  </si>
  <si>
    <t>SCHEDULE_INSERT_DATE</t>
  </si>
  <si>
    <t>SCHEDULE_INSERT_DATE_LOCAL</t>
  </si>
  <si>
    <t>SCHEDULE_INSERT_DATE_PST</t>
  </si>
  <si>
    <t>SCHEDULE_UPDATE_DATE</t>
  </si>
  <si>
    <t>DATE</t>
  </si>
  <si>
    <t>CAST(OA.SCHEDULE_UPDATE_DATE AS DATE)</t>
  </si>
  <si>
    <t>SCHEDULE_UPDATE_DATE_LOCAL</t>
  </si>
  <si>
    <t xml:space="preserve">CAST(OA.SCHEDULE_UPDATE_DATE_LOCAL AS DATE) </t>
  </si>
  <si>
    <t>SCHEDULE_UPDATE_DATE_PST</t>
  </si>
  <si>
    <t>CAST(OA.SCHEDULE_UPDATE_DATE_PST AS DATE)</t>
  </si>
  <si>
    <t>SHIP_CONFIRM_DATE_LOCAL</t>
  </si>
  <si>
    <t>SHIP_CONFIRM_DATE_PST</t>
  </si>
  <si>
    <t>SHIP_CONFIRM_DATE</t>
  </si>
  <si>
    <t>SHIPMENT_START_DATE_PST</t>
  </si>
  <si>
    <t>STARTDATETIME</t>
  </si>
  <si>
    <t>SOA_SHIPMENT_DATE_LOCAL</t>
  </si>
  <si>
    <t>SOA_SHIPMENT_DATE</t>
  </si>
  <si>
    <t>SOA_SHIPMENT_DATE_PST</t>
  </si>
  <si>
    <t>case
    when order_number like '4%' then from_utc_timestamp(S.SOA_SHIPMENT_DATE, 'America/Los_Angeles')
    else S.SOA_SHIPMENT_DATE
  end AS</t>
  </si>
  <si>
    <t>SOA_SHIPMENT_TIME</t>
  </si>
  <si>
    <t>Direct Column</t>
  </si>
  <si>
    <t>HISTORY_TYPE</t>
  </si>
  <si>
    <t xml:space="preserve">Yes </t>
  </si>
  <si>
    <t>CREATE / UPDATE values</t>
  </si>
  <si>
    <t>CREATE / UPDATE</t>
  </si>
  <si>
    <t>WEEK_NUMBER</t>
  </si>
  <si>
    <t>DIM_MCAL_PLANNING_WEEK.MCAL_WEEK   -- This dimenssion is joined based on FINAL_CUSTOMER_AGREED_TO_DATE in fact_Service_metrics which is FINAL_PROMISE_DATE_LOCAL in the view</t>
  </si>
  <si>
    <t>TRIP_ID</t>
  </si>
  <si>
    <t>PLP</t>
  </si>
  <si>
    <t>NUMBER_OF_STOPS</t>
  </si>
  <si>
    <t>STOP_NUMBER AS NUMBER_OF_STOPS</t>
  </si>
  <si>
    <t>STOP_NUMBER</t>
  </si>
  <si>
    <t>CUSTOMER_NAME</t>
  </si>
  <si>
    <t>CUSTOMER AS CUSTOMER_NAME</t>
  </si>
  <si>
    <t>DIM_CUST_SITE_USE.CUSTOMER_NAME -- joined with SK_CUST_SITE_USE_ID</t>
  </si>
  <si>
    <t>CUSTOMER_PO_NUMBER</t>
  </si>
  <si>
    <t>CUST_PO AS CUSTOMER_PO_NUMBER</t>
  </si>
  <si>
    <t>PURCH_ORDER_NUM AS CUST_PO</t>
  </si>
  <si>
    <t>PURCH_ORDER_NUM</t>
  </si>
  <si>
    <t>DOO_HEADERS_ALL.HEADERCUSTOMERPONUMBER</t>
  </si>
  <si>
    <t>ORDER_NUMBER</t>
  </si>
  <si>
    <t>SALES_ORDER_NUM ORDER_NUMBER</t>
  </si>
  <si>
    <t>SALES_ORDER_NUM</t>
  </si>
  <si>
    <t>DOO_HEADERS_ALL.HEADERORDERNUMBER</t>
  </si>
  <si>
    <t>LINE_NUMBER</t>
  </si>
  <si>
    <t>CONCAT_WS('.',OA.SALES_ORDER_ITEM,CAST(OA.X_SHIPMENT_NUMBER AS string)) AS LINE_NUMBER</t>
  </si>
  <si>
    <t>,OA.SALES_ORDER_ITEM and OA.X_SHIPMENT_NUMBER</t>
  </si>
  <si>
    <t>SALES_ORDER_ITEM - DOO_LINES_ALL.LINELINENUMBER
X_SHIPMENT_NUMBER - WDD.DELIVERYLINEPEOSOURCESHIPMENTNUMBER</t>
  </si>
  <si>
    <t>DOO_LINES_ALL.LINELINENUMBER and 
WSH_DELIVERY_DETAILS.DELIVERYLINEPEOSOURCESHIPMENTNUMBER</t>
  </si>
  <si>
    <t>DELIVERY_NUMBER</t>
  </si>
  <si>
    <t>DELIVERY_ID AS DELIVERY_NUMBER</t>
  </si>
  <si>
    <t>DELIVERY_ID</t>
  </si>
  <si>
    <t>FREIGHT_METHOD</t>
  </si>
  <si>
    <t>MSC_SR_LOOKUP_VALUES_TL.MEANING for lookup_Type - 'WSH_FREIGHT_CHARGE_TERMS' joined with FREIGHT_TERMS_ID</t>
  </si>
  <si>
    <t>DOO_HEADERS_ALL.HEADERFREIGHTTERMSCODE</t>
  </si>
  <si>
    <t>SHIP_FROM_ORG</t>
  </si>
  <si>
    <t>ITEM_NUMBER</t>
  </si>
  <si>
    <t>UOM</t>
  </si>
  <si>
    <t>QTY_REQUESTED</t>
  </si>
  <si>
    <t>REQUESTED_24PKEQCASES</t>
  </si>
  <si>
    <t>QTY_SHIPPED</t>
  </si>
  <si>
    <t>SHIPPED_24PKEQCASES</t>
  </si>
  <si>
    <t>QTY_SHORT_SHIPPED</t>
  </si>
  <si>
    <t>PKEQ24_CASES_SHORT_SHIPPED</t>
  </si>
  <si>
    <t>SHORT_SHIP_REASON_CODE</t>
  </si>
  <si>
    <t>RESCHEDULE_REASON_CODE</t>
  </si>
  <si>
    <t>ORIGINAL_SCHEDULE_SHIP_DATE</t>
  </si>
  <si>
    <t>LINE_ITEM_STATUS</t>
  </si>
  <si>
    <t>CANCEL_REASON_CODE</t>
  </si>
  <si>
    <t>USER_NAME</t>
  </si>
  <si>
    <t>SHIP_TO_CITY</t>
  </si>
  <si>
    <t>SHIP_TO_STATE</t>
  </si>
  <si>
    <t>SHIP_TO_ZIPCODE</t>
  </si>
  <si>
    <t>PARTY_SITE_NUMBER</t>
  </si>
  <si>
    <t>SALES_CHANNEL_CODE</t>
  </si>
  <si>
    <t>DTS_FLAG</t>
  </si>
  <si>
    <t>LOCATION_TYPE</t>
  </si>
  <si>
    <t>CARRIER_NAME</t>
  </si>
  <si>
    <t>SHIPMENT_GID</t>
  </si>
  <si>
    <t>ORDER_HEADER_STATUS</t>
  </si>
  <si>
    <t>BOTTLE_SIZE</t>
  </si>
  <si>
    <t>PACK_SIZE</t>
  </si>
  <si>
    <t>PRODUCT</t>
  </si>
  <si>
    <t>PRODUCT_FAMILY</t>
  </si>
  <si>
    <t>PRODUCT_CATEGORY</t>
  </si>
  <si>
    <t>PRODUCT_CATEGORY_SC</t>
  </si>
  <si>
    <t>SALES_CATEGORY</t>
  </si>
  <si>
    <t>REASON_COMMENTS</t>
  </si>
  <si>
    <t>TRANSPORT_MODE_GID</t>
  </si>
  <si>
    <t>DROP_FLAG</t>
  </si>
  <si>
    <t>LATEST_CHANGE_FILTER</t>
  </si>
  <si>
    <t>ITEM_ONDATE</t>
  </si>
  <si>
    <t>QTY_CORRECT</t>
  </si>
  <si>
    <t>LEAD_TIME_DAYS</t>
  </si>
  <si>
    <t>RECOVERY_TIME_DAYS</t>
  </si>
  <si>
    <t>ORDER_COUNTER</t>
  </si>
  <si>
    <t>ITEM_COUNTER</t>
  </si>
  <si>
    <t>PUSH_PULL_FLAG</t>
  </si>
  <si>
    <t>SHIPMENT_COUNTER</t>
  </si>
  <si>
    <t>CHANGE_COUNTER</t>
  </si>
  <si>
    <t>SHIP_FROM_ROLLUP_ORG</t>
  </si>
  <si>
    <t>SHIP_FROM_SC_REGION</t>
  </si>
  <si>
    <t>DOMAIN_NAME</t>
  </si>
  <si>
    <t>SHIP_TO_COUNTRY</t>
  </si>
  <si>
    <t>CHANGE_TYPE</t>
  </si>
  <si>
    <t>ITEM_ONTIME</t>
  </si>
  <si>
    <t>CONTRACTUAL_LEAD_TIME_DAYS</t>
  </si>
  <si>
    <t>CS_TEAM</t>
  </si>
  <si>
    <t>CUSTOMER_REGION</t>
  </si>
  <si>
    <t>DEST_LOCATION_GID</t>
  </si>
  <si>
    <t>PROMISE_YEAR</t>
  </si>
  <si>
    <t>DEPLOYMENT_FLAG</t>
  </si>
  <si>
    <t>REQUESTED_CASES</t>
  </si>
  <si>
    <t>SHIPPED_CASES</t>
  </si>
  <si>
    <t>SHORT_CASES</t>
  </si>
  <si>
    <t>SHIP_FROM_SHIPPING_REGION</t>
  </si>
  <si>
    <t>CS_REPS</t>
  </si>
  <si>
    <t>OR_SCHEDULE_FLAG</t>
  </si>
  <si>
    <t>STATUS_TYPE_GID</t>
  </si>
  <si>
    <t>STATUS_VALUE_GID</t>
  </si>
  <si>
    <t>SALES_REGION</t>
  </si>
  <si>
    <t>OR_RATE_OFFERING_GID</t>
  </si>
  <si>
    <t>OR_INDICATOR</t>
  </si>
  <si>
    <t>FINAL_REQUEST_YEAR</t>
  </si>
  <si>
    <t>FINAL_REQUEST_WEEK</t>
  </si>
  <si>
    <t>OR_RATE_GEO_GID</t>
  </si>
  <si>
    <t>SH_X_LANE_GID</t>
  </si>
  <si>
    <t>OR_TRANSPORT_MODE_GID</t>
  </si>
  <si>
    <t>OR_DEPLOYMENT_FLAG</t>
  </si>
  <si>
    <t>DISTANCE</t>
  </si>
  <si>
    <t>OR_PENDING_REASON</t>
  </si>
  <si>
    <t>SH_RATE_OFFERING_GID</t>
  </si>
  <si>
    <t>SH_RATE_GEO_GID</t>
  </si>
  <si>
    <t>X_LANE_GID</t>
  </si>
  <si>
    <t>SH_TRANSPORT_MODE_GID</t>
  </si>
  <si>
    <t>CANCELLED_QUANTITY</t>
  </si>
  <si>
    <t>PKEQ24_CANCELLED_CASES</t>
  </si>
  <si>
    <t>SCHEDULE_UPDATE_USER</t>
  </si>
  <si>
    <t>ORIGINAL_REQUEST_YEAR</t>
  </si>
  <si>
    <t>ORIGINAL_REQUEST_WEEK</t>
  </si>
  <si>
    <t>CPU_CONTACT</t>
  </si>
  <si>
    <t>SHIP_TO_ADDRESS</t>
  </si>
  <si>
    <t>DOCK_DOOR</t>
  </si>
  <si>
    <t>LOAD_TYPE</t>
  </si>
  <si>
    <t>FG_BRAND</t>
  </si>
  <si>
    <t>PRODUCT_TYPE</t>
  </si>
  <si>
    <t>FG_FLAVOR</t>
  </si>
  <si>
    <t>FG_SALES_CATEGORY</t>
  </si>
  <si>
    <t>FG_BUSINESS_UNIT</t>
  </si>
  <si>
    <t>DEF_SHIP_FROM_ORG</t>
  </si>
  <si>
    <t>CUSTOMER_ITEM</t>
  </si>
  <si>
    <t>DEF_SHIP_FROM_ROLLUP_ORG</t>
  </si>
  <si>
    <t>ORDER_TYPE_CODE</t>
  </si>
  <si>
    <t>SHIP_TO_ORG</t>
  </si>
  <si>
    <t>SHIP_TO_ROLLUP_ORG</t>
  </si>
  <si>
    <t>SHIP_TO_SC_REGION</t>
  </si>
  <si>
    <t>FIRST_RESCHEDULE_REASON_CODE</t>
  </si>
  <si>
    <t>ITEM_DESCRIPTION</t>
  </si>
  <si>
    <t>SHIP_CONFIRM_YEAR</t>
  </si>
  <si>
    <t>SHIP_CONFIRM_WEEK</t>
  </si>
  <si>
    <t>LOCATION</t>
  </si>
  <si>
    <t>SOA_SHIPMENT_WEEK</t>
  </si>
  <si>
    <t>SOA_SHIPMENT_YEAR</t>
  </si>
  <si>
    <t>SOA_SHORT_SHIPPED_CASES</t>
  </si>
  <si>
    <t>SOA_SHIPPED_24PKEQCASES</t>
  </si>
  <si>
    <t>SOA_SHORT_SHIPPED_24PKEQCASES</t>
  </si>
  <si>
    <t>X_ATTRIBUTE14</t>
  </si>
  <si>
    <t>ORIGINAL_REQUESTED_CASES</t>
  </si>
  <si>
    <t>ORIGINAL_REQUESTED_24PKEQCASES</t>
  </si>
  <si>
    <t>SHIP_TO_SH_REGION</t>
  </si>
  <si>
    <t>SUPPLY_CHAIN_LOAD_TYPE</t>
  </si>
  <si>
    <t>CANCEL_REASON_BUCKET</t>
  </si>
  <si>
    <t>REQUESTED_PALLETS</t>
  </si>
  <si>
    <t>SHIPPED_PALLETS</t>
  </si>
  <si>
    <t>SHORT_PALLETS</t>
  </si>
  <si>
    <t>CANCELLED_CASES</t>
  </si>
  <si>
    <t>CANCELLED_24PKEQCASES</t>
  </si>
  <si>
    <t>CANCELLED_PALLETS</t>
  </si>
  <si>
    <t>SHORT_24PKEQCASES</t>
  </si>
  <si>
    <t>WATER_TYPE_SC</t>
  </si>
  <si>
    <t>PROMISE_WEEK</t>
  </si>
  <si>
    <t>CRITICAL_FLAG</t>
  </si>
  <si>
    <t>DEMAND_CLASS_CODE</t>
  </si>
  <si>
    <t>AOP_RESULT</t>
  </si>
  <si>
    <t>GENPLAN_RESULT</t>
  </si>
  <si>
    <t>SHIPMENT_PRELOAD</t>
  </si>
  <si>
    <t>SOA_SHIPPED_CASES</t>
  </si>
  <si>
    <t>OREF_SCHEDULE_INSERT_USER</t>
  </si>
  <si>
    <t>WITH_DRAW_USER_FLAG</t>
  </si>
  <si>
    <t>BALANCE_REQUESTED_CASES</t>
  </si>
  <si>
    <t>ROLLUP_ITEM</t>
  </si>
  <si>
    <t>MTO_FLG</t>
  </si>
  <si>
    <t>OSP</t>
  </si>
  <si>
    <t>MOSP</t>
  </si>
  <si>
    <t>PUA_REASON_CODE</t>
  </si>
  <si>
    <t>SAMPLE ORDER NUMBER</t>
  </si>
  <si>
    <t>Value in FACT_SERVICE_METRICS_V</t>
  </si>
  <si>
    <t>Value in Source</t>
  </si>
  <si>
    <t>Value is Sales Order Fact</t>
  </si>
  <si>
    <t>Value in Sevice Metrics Fact</t>
  </si>
  <si>
    <t>DOO_FULFILL_LINES_EFF_B.ATTRIBUTE_DATE1</t>
  </si>
  <si>
    <t>2026-05-10T00:00:00.000-07:00</t>
  </si>
  <si>
    <t>2026-05-10T00:00:00.000+00:00</t>
  </si>
  <si>
    <t>2026-05-09T17:00:00.000-07:00</t>
  </si>
  <si>
    <t>2026-05-09T20:00:00.000-07:00</t>
  </si>
  <si>
    <t>COALESCE(FulfillLine.FULFILLLINEREQUESTSHIPDATE,FulfillLine.FULFILLLINEREQUESTARRIVALDATE)</t>
  </si>
  <si>
    <t>2026-05-11T05:00:00.000-07:00</t>
  </si>
  <si>
    <t>2026-05-11T05:00:00.000+00:00</t>
  </si>
  <si>
    <t>2026-05-10T22:00:00.000-07:00</t>
  </si>
  <si>
    <t>DOO_LINES_ALL.LINECREATIONDATE</t>
  </si>
  <si>
    <t>2026-04-20T20:00:02.000-07:00</t>
  </si>
  <si>
    <t>2026-04-20T20:00:02.817+00:00</t>
  </si>
  <si>
    <t>2026-04-20T23:00:02.000-07:00</t>
  </si>
  <si>
    <t>2026-04-20T13:00:02.000-07:00</t>
  </si>
  <si>
    <t>DOO_HEADERS_ALL.HEADERORDEREDDATE</t>
  </si>
  <si>
    <t>2026-04-20T07:00:00.000-07:00</t>
  </si>
  <si>
    <t>2026-04-20T07:00:00.000+00:00</t>
  </si>
  <si>
    <t>2026-05-01T07:00:00.000-07:00</t>
  </si>
  <si>
    <t>2026-05-01T07:00:00.000+00:00</t>
  </si>
  <si>
    <t>2026-05-01T00:00:00.000-07:00</t>
  </si>
  <si>
    <t>wsh_New_Deliveries.ship_confirm_Date</t>
  </si>
  <si>
    <t>2026-05-10T17:08:21.000-07:00</t>
  </si>
  <si>
    <t>2026-05-10T21:08:21.000+00:00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</si>
</sst>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C65911"/>
      <name val="Calibri"/>
      <family val="2"/>
    </font>
    <font>
      <sz val="11"/>
      <color rgb="FFC65911"/>
      <name val="Calibri"/>
      <family val="2"/>
    </font>
    <font>
      <sz val="12"/>
      <color rgb="FF000000"/>
      <name val="Calibri"/>
      <family val="2"/>
    </font>
    <font>
      <sz val="11"/>
      <color rgb="FF000000"/>
      <name val="Calibri"/>
      <charset val="1"/>
    </font>
    <font>
      <sz val="11"/>
      <color rgb="FF242424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2" fillId="3" borderId="0" xfId="0" applyFont="1" applyFill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0" fillId="0" borderId="0" xfId="0" applyAlignment="1">
      <alignment vertical="top" wrapText="1"/>
    </xf>
    <xf numFmtId="0" fontId="6" fillId="0" borderId="0" xfId="0" applyFont="1"/>
    <xf numFmtId="0" fontId="6" fillId="0" borderId="0" xfId="0" applyFont="1" applyAlignment="1">
      <alignment wrapText="1"/>
    </xf>
    <xf numFmtId="0" fontId="7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wrapTex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2"/>
  <sheetViews>
    <sheetView topLeftCell="D1" workbookViewId="0">
      <pane ySplit="1" topLeftCell="D2" activePane="bottomLeft" state="frozen"/>
      <selection pane="bottomLeft" activeCell="C1" sqref="C1:G1"/>
      <selection activeCell="B1" sqref="B1"/>
    </sheetView>
  </sheetViews>
  <sheetFormatPr defaultColWidth="15.85546875" defaultRowHeight="14.45"/>
  <cols>
    <col min="1" max="1" width="34.85546875" bestFit="1" customWidth="1"/>
    <col min="2" max="2" width="11.42578125" bestFit="1" customWidth="1"/>
    <col min="3" max="3" width="35.140625" bestFit="1" customWidth="1"/>
    <col min="4" max="4" width="74.85546875" customWidth="1"/>
    <col min="5" max="5" width="35.42578125" bestFit="1" customWidth="1"/>
    <col min="6" max="6" width="42.140625" customWidth="1"/>
    <col min="7" max="7" width="45.14062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96" customHeight="1">
      <c r="A2" t="s">
        <v>7</v>
      </c>
      <c r="B2" t="s">
        <v>8</v>
      </c>
      <c r="C2" t="s">
        <v>9</v>
      </c>
      <c r="D2" s="2" t="s">
        <v>10</v>
      </c>
      <c r="E2" s="2" t="s">
        <v>11</v>
      </c>
    </row>
    <row r="3" spans="1:7" ht="43.5">
      <c r="A3" t="s">
        <v>12</v>
      </c>
      <c r="B3" t="s">
        <v>8</v>
      </c>
      <c r="C3" t="s">
        <v>12</v>
      </c>
      <c r="D3" t="s">
        <v>12</v>
      </c>
      <c r="E3" t="s">
        <v>12</v>
      </c>
      <c r="F3" s="2" t="s">
        <v>13</v>
      </c>
      <c r="G3" s="2" t="s">
        <v>14</v>
      </c>
    </row>
    <row r="4" spans="1:7" ht="130.5">
      <c r="A4" t="s">
        <v>15</v>
      </c>
      <c r="B4" t="s">
        <v>8</v>
      </c>
      <c r="C4" t="s">
        <v>16</v>
      </c>
      <c r="D4" t="s">
        <v>16</v>
      </c>
      <c r="E4" t="s">
        <v>16</v>
      </c>
      <c r="F4" s="2" t="s">
        <v>13</v>
      </c>
      <c r="G4" s="2" t="s">
        <v>17</v>
      </c>
    </row>
    <row r="5" spans="1:7" ht="43.5">
      <c r="A5" t="s">
        <v>18</v>
      </c>
      <c r="B5" t="s">
        <v>8</v>
      </c>
      <c r="C5" t="s">
        <v>18</v>
      </c>
      <c r="D5" t="s">
        <v>18</v>
      </c>
      <c r="E5" t="s">
        <v>18</v>
      </c>
      <c r="F5" s="2" t="s">
        <v>13</v>
      </c>
      <c r="G5" s="2" t="s">
        <v>14</v>
      </c>
    </row>
    <row r="6" spans="1:7" ht="130.5">
      <c r="A6" t="s">
        <v>19</v>
      </c>
      <c r="B6" t="s">
        <v>8</v>
      </c>
      <c r="C6" t="s">
        <v>20</v>
      </c>
      <c r="D6" t="s">
        <v>20</v>
      </c>
      <c r="E6" t="s">
        <v>20</v>
      </c>
      <c r="F6" s="2" t="s">
        <v>13</v>
      </c>
      <c r="G6" s="2" t="s">
        <v>21</v>
      </c>
    </row>
    <row r="7" spans="1:7" ht="159.6">
      <c r="A7" t="s">
        <v>22</v>
      </c>
      <c r="B7" t="s">
        <v>8</v>
      </c>
      <c r="C7" t="s">
        <v>22</v>
      </c>
      <c r="D7" t="s">
        <v>22</v>
      </c>
      <c r="E7" t="s">
        <v>22</v>
      </c>
      <c r="F7" s="2" t="s">
        <v>23</v>
      </c>
      <c r="G7" s="2" t="s">
        <v>24</v>
      </c>
    </row>
    <row r="8" spans="1:7" ht="43.5">
      <c r="A8" t="s">
        <v>25</v>
      </c>
      <c r="B8" t="s">
        <v>8</v>
      </c>
      <c r="C8" t="s">
        <v>25</v>
      </c>
      <c r="D8" t="s">
        <v>25</v>
      </c>
      <c r="E8" t="s">
        <v>25</v>
      </c>
      <c r="F8" s="2" t="s">
        <v>26</v>
      </c>
      <c r="G8" s="2" t="s">
        <v>14</v>
      </c>
    </row>
    <row r="9" spans="1:7" ht="87">
      <c r="A9" t="s">
        <v>27</v>
      </c>
      <c r="B9" t="s">
        <v>8</v>
      </c>
      <c r="C9" t="s">
        <v>28</v>
      </c>
      <c r="D9" t="s">
        <v>29</v>
      </c>
      <c r="E9" t="s">
        <v>29</v>
      </c>
      <c r="F9" s="2" t="s">
        <v>30</v>
      </c>
      <c r="G9" s="2" t="s">
        <v>31</v>
      </c>
    </row>
    <row r="10" spans="1:7" ht="87">
      <c r="A10" t="s">
        <v>32</v>
      </c>
      <c r="B10" t="s">
        <v>8</v>
      </c>
      <c r="C10" t="s">
        <v>33</v>
      </c>
      <c r="D10" t="s">
        <v>33</v>
      </c>
      <c r="E10" t="s">
        <v>33</v>
      </c>
      <c r="F10" s="2" t="s">
        <v>30</v>
      </c>
      <c r="G10" s="2" t="s">
        <v>34</v>
      </c>
    </row>
    <row r="11" spans="1:7" ht="72.599999999999994">
      <c r="A11" t="s">
        <v>35</v>
      </c>
      <c r="B11" t="s">
        <v>8</v>
      </c>
      <c r="C11" t="s">
        <v>36</v>
      </c>
      <c r="D11" s="2" t="s">
        <v>37</v>
      </c>
      <c r="E11" t="s">
        <v>38</v>
      </c>
      <c r="F11" s="2" t="s">
        <v>39</v>
      </c>
      <c r="G11" t="s">
        <v>40</v>
      </c>
    </row>
    <row r="12" spans="1:7" ht="72.599999999999994">
      <c r="A12" t="s">
        <v>41</v>
      </c>
      <c r="B12" t="s">
        <v>8</v>
      </c>
      <c r="C12" t="s">
        <v>35</v>
      </c>
      <c r="D12" s="2" t="s">
        <v>42</v>
      </c>
      <c r="E12" t="s">
        <v>43</v>
      </c>
      <c r="F12" s="2" t="s">
        <v>44</v>
      </c>
      <c r="G12" t="s">
        <v>40</v>
      </c>
    </row>
    <row r="13" spans="1:7" ht="87">
      <c r="A13" t="s">
        <v>45</v>
      </c>
      <c r="B13" t="s">
        <v>8</v>
      </c>
      <c r="C13" t="s">
        <v>46</v>
      </c>
      <c r="D13" s="2" t="s">
        <v>47</v>
      </c>
      <c r="E13" t="s">
        <v>48</v>
      </c>
      <c r="F13" s="2" t="s">
        <v>49</v>
      </c>
      <c r="G13" t="s">
        <v>50</v>
      </c>
    </row>
    <row r="14" spans="1:7" ht="72.599999999999994">
      <c r="A14" t="s">
        <v>51</v>
      </c>
      <c r="B14" t="s">
        <v>8</v>
      </c>
      <c r="C14" t="s">
        <v>45</v>
      </c>
      <c r="D14" s="2" t="s">
        <v>52</v>
      </c>
      <c r="E14" t="s">
        <v>53</v>
      </c>
      <c r="F14" s="2" t="s">
        <v>54</v>
      </c>
      <c r="G14" t="s">
        <v>50</v>
      </c>
    </row>
    <row r="15" spans="1:7" ht="101.45">
      <c r="A15" t="s">
        <v>55</v>
      </c>
      <c r="B15" t="s">
        <v>8</v>
      </c>
      <c r="C15" t="s">
        <v>56</v>
      </c>
      <c r="D15" t="s">
        <v>57</v>
      </c>
      <c r="E15" t="s">
        <v>57</v>
      </c>
      <c r="F15" s="2" t="s">
        <v>58</v>
      </c>
      <c r="G15" s="2" t="s">
        <v>59</v>
      </c>
    </row>
    <row r="16" spans="1:7" ht="144.94999999999999">
      <c r="A16" t="s">
        <v>60</v>
      </c>
      <c r="B16" t="s">
        <v>8</v>
      </c>
      <c r="C16" t="s">
        <v>60</v>
      </c>
      <c r="D16" t="s">
        <v>60</v>
      </c>
      <c r="E16" t="s">
        <v>60</v>
      </c>
      <c r="F16" s="2" t="s">
        <v>61</v>
      </c>
      <c r="G16" s="2" t="s">
        <v>62</v>
      </c>
    </row>
    <row r="17" spans="1:7">
      <c r="A17" t="s">
        <v>63</v>
      </c>
      <c r="B17" t="s">
        <v>8</v>
      </c>
      <c r="C17" t="s">
        <v>63</v>
      </c>
      <c r="D17" t="s">
        <v>48</v>
      </c>
      <c r="E17" t="s">
        <v>48</v>
      </c>
      <c r="F17" t="str">
        <f>E13</f>
        <v>EARLY_DELIVERY_DATE_LOCAL</v>
      </c>
      <c r="G17" t="str">
        <f>G13</f>
        <v>NBL_OTM_ORDERRELEASE.ORDER_RELEASE_2</v>
      </c>
    </row>
    <row r="18" spans="1:7" ht="87">
      <c r="A18" t="s">
        <v>64</v>
      </c>
      <c r="B18" t="s">
        <v>8</v>
      </c>
      <c r="C18" t="s">
        <v>64</v>
      </c>
      <c r="D18" t="s">
        <v>65</v>
      </c>
      <c r="E18" t="s">
        <v>65</v>
      </c>
      <c r="F18" s="2" t="s">
        <v>66</v>
      </c>
      <c r="G18" s="2" t="s">
        <v>67</v>
      </c>
    </row>
    <row r="19" spans="1:7" s="3" customFormat="1">
      <c r="A19" s="3" t="s">
        <v>68</v>
      </c>
      <c r="B19" s="3" t="s">
        <v>8</v>
      </c>
      <c r="C19" s="3" t="s">
        <v>69</v>
      </c>
    </row>
    <row r="20" spans="1:7" s="3" customFormat="1" ht="174">
      <c r="A20" s="3" t="s">
        <v>70</v>
      </c>
      <c r="B20" s="3" t="s">
        <v>8</v>
      </c>
      <c r="C20" s="4" t="s">
        <v>71</v>
      </c>
    </row>
    <row r="21" spans="1:7">
      <c r="A21" t="s">
        <v>72</v>
      </c>
      <c r="B21" t="s">
        <v>8</v>
      </c>
      <c r="C21" t="s">
        <v>73</v>
      </c>
      <c r="D21" t="s">
        <v>74</v>
      </c>
      <c r="E21" t="s">
        <v>75</v>
      </c>
    </row>
    <row r="22" spans="1:7">
      <c r="A22" t="s">
        <v>76</v>
      </c>
      <c r="B22" t="s">
        <v>8</v>
      </c>
      <c r="C22" t="s">
        <v>76</v>
      </c>
      <c r="D22" t="s">
        <v>77</v>
      </c>
      <c r="E22" t="s">
        <v>77</v>
      </c>
    </row>
    <row r="23" spans="1:7" ht="87">
      <c r="A23" t="s">
        <v>78</v>
      </c>
      <c r="B23" t="s">
        <v>8</v>
      </c>
      <c r="C23" t="s">
        <v>78</v>
      </c>
      <c r="D23" t="s">
        <v>78</v>
      </c>
      <c r="E23" t="s">
        <v>78</v>
      </c>
      <c r="F23" s="2" t="s">
        <v>79</v>
      </c>
      <c r="G23" s="2" t="s">
        <v>80</v>
      </c>
    </row>
    <row r="24" spans="1:7">
      <c r="A24" t="s">
        <v>81</v>
      </c>
      <c r="B24" t="s">
        <v>8</v>
      </c>
      <c r="C24" t="s">
        <v>82</v>
      </c>
      <c r="D24" t="s">
        <v>82</v>
      </c>
      <c r="E24" t="s">
        <v>83</v>
      </c>
    </row>
    <row r="25" spans="1:7" ht="87">
      <c r="A25" t="s">
        <v>84</v>
      </c>
      <c r="B25" t="s">
        <v>8</v>
      </c>
      <c r="C25" t="s">
        <v>84</v>
      </c>
      <c r="D25" t="s">
        <v>84</v>
      </c>
      <c r="E25" t="s">
        <v>84</v>
      </c>
      <c r="F25" s="2" t="s">
        <v>85</v>
      </c>
      <c r="G25" s="2" t="s">
        <v>80</v>
      </c>
    </row>
    <row r="26" spans="1:7" ht="87">
      <c r="A26" t="s">
        <v>86</v>
      </c>
      <c r="B26" t="s">
        <v>8</v>
      </c>
      <c r="C26" t="s">
        <v>87</v>
      </c>
      <c r="D26" s="2" t="s">
        <v>88</v>
      </c>
      <c r="E26" s="2" t="s">
        <v>89</v>
      </c>
    </row>
    <row r="27" spans="1:7" ht="130.5">
      <c r="A27" t="s">
        <v>90</v>
      </c>
      <c r="B27" t="s">
        <v>8</v>
      </c>
      <c r="C27" s="2" t="s">
        <v>91</v>
      </c>
      <c r="D27" t="s">
        <v>92</v>
      </c>
    </row>
    <row r="28" spans="1:7">
      <c r="A28" t="s">
        <v>93</v>
      </c>
      <c r="B28" t="s">
        <v>8</v>
      </c>
      <c r="C28" t="s">
        <v>56</v>
      </c>
      <c r="D28" t="s">
        <v>57</v>
      </c>
      <c r="E28" t="s">
        <v>57</v>
      </c>
      <c r="F28" t="s">
        <v>94</v>
      </c>
    </row>
    <row r="29" spans="1:7">
      <c r="A29" t="s">
        <v>95</v>
      </c>
      <c r="B29" t="s">
        <v>8</v>
      </c>
      <c r="C29" t="s">
        <v>95</v>
      </c>
      <c r="D29" t="s">
        <v>38</v>
      </c>
      <c r="E29" t="s">
        <v>38</v>
      </c>
      <c r="F29" t="s">
        <v>94</v>
      </c>
    </row>
    <row r="30" spans="1:7" ht="188.45">
      <c r="A30" t="s">
        <v>96</v>
      </c>
      <c r="B30" t="s">
        <v>8</v>
      </c>
      <c r="C30" t="s">
        <v>97</v>
      </c>
      <c r="D30" t="s">
        <v>98</v>
      </c>
      <c r="E30" t="s">
        <v>98</v>
      </c>
      <c r="F30" s="2" t="s">
        <v>99</v>
      </c>
      <c r="G30" s="2" t="s">
        <v>100</v>
      </c>
    </row>
    <row r="31" spans="1:7" ht="203.1">
      <c r="A31" t="s">
        <v>101</v>
      </c>
      <c r="B31" t="s">
        <v>8</v>
      </c>
      <c r="C31" t="s">
        <v>102</v>
      </c>
      <c r="D31" t="s">
        <v>103</v>
      </c>
      <c r="E31" t="s">
        <v>103</v>
      </c>
      <c r="F31" s="2" t="s">
        <v>104</v>
      </c>
      <c r="G31" s="2" t="s">
        <v>105</v>
      </c>
    </row>
    <row r="32" spans="1:7">
      <c r="A32" t="s">
        <v>106</v>
      </c>
      <c r="B32" t="s">
        <v>8</v>
      </c>
      <c r="C32" t="s">
        <v>97</v>
      </c>
      <c r="D32" t="s">
        <v>98</v>
      </c>
      <c r="E32" t="s">
        <v>98</v>
      </c>
      <c r="F32" t="s">
        <v>94</v>
      </c>
    </row>
    <row r="33" spans="1:5">
      <c r="A33" t="s">
        <v>107</v>
      </c>
      <c r="B33" t="s">
        <v>8</v>
      </c>
      <c r="C33" t="s">
        <v>108</v>
      </c>
      <c r="D33" t="s">
        <v>109</v>
      </c>
      <c r="E33" t="s">
        <v>109</v>
      </c>
    </row>
    <row r="34" spans="1:5">
      <c r="A34" t="s">
        <v>110</v>
      </c>
      <c r="B34" t="s">
        <v>8</v>
      </c>
      <c r="C34" t="s">
        <v>110</v>
      </c>
      <c r="D34" t="s">
        <v>111</v>
      </c>
      <c r="E34" t="s">
        <v>111</v>
      </c>
    </row>
    <row r="35" spans="1:5">
      <c r="A35" t="s">
        <v>112</v>
      </c>
      <c r="B35" t="s">
        <v>8</v>
      </c>
      <c r="C35" t="s">
        <v>113</v>
      </c>
      <c r="D35" t="s">
        <v>113</v>
      </c>
      <c r="E35" t="s">
        <v>113</v>
      </c>
    </row>
    <row r="36" spans="1:5">
      <c r="A36" t="s">
        <v>114</v>
      </c>
      <c r="B36" t="s">
        <v>8</v>
      </c>
      <c r="C36" t="s">
        <v>114</v>
      </c>
      <c r="D36" t="s">
        <v>114</v>
      </c>
      <c r="E36" t="s">
        <v>114</v>
      </c>
    </row>
    <row r="37" spans="1:5">
      <c r="A37" t="s">
        <v>115</v>
      </c>
      <c r="B37" t="s">
        <v>8</v>
      </c>
      <c r="C37" t="s">
        <v>115</v>
      </c>
      <c r="D37" t="s">
        <v>115</v>
      </c>
      <c r="E37" t="s">
        <v>115</v>
      </c>
    </row>
    <row r="38" spans="1:5">
      <c r="A38" t="s">
        <v>116</v>
      </c>
      <c r="B38" t="s">
        <v>8</v>
      </c>
      <c r="C38" t="s">
        <v>116</v>
      </c>
      <c r="D38" t="s">
        <v>116</v>
      </c>
      <c r="E38" t="s">
        <v>116</v>
      </c>
    </row>
    <row r="39" spans="1:5">
      <c r="A39" t="s">
        <v>117</v>
      </c>
      <c r="B39" t="s">
        <v>8</v>
      </c>
      <c r="C39" t="str">
        <f>A39</f>
        <v>OREF_SCHEDULE_UPDATE_DATE</v>
      </c>
      <c r="D39" t="s">
        <v>117</v>
      </c>
      <c r="E39" t="s">
        <v>117</v>
      </c>
    </row>
    <row r="40" spans="1:5">
      <c r="A40" t="s">
        <v>118</v>
      </c>
      <c r="B40" t="s">
        <v>8</v>
      </c>
      <c r="C40" t="str">
        <f t="shared" ref="C40:C41" si="0">A40</f>
        <v>OREF_SCHEDULE_UPDATE_DATE_LOCAL</v>
      </c>
      <c r="D40" t="s">
        <v>118</v>
      </c>
      <c r="E40" t="s">
        <v>118</v>
      </c>
    </row>
    <row r="41" spans="1:5">
      <c r="A41" t="s">
        <v>119</v>
      </c>
      <c r="B41" t="s">
        <v>8</v>
      </c>
      <c r="C41" t="str">
        <f t="shared" si="0"/>
        <v>OREF_SCHEDULE_UPDATE_DATE_PST</v>
      </c>
      <c r="D41" t="s">
        <v>119</v>
      </c>
      <c r="E41" t="s">
        <v>119</v>
      </c>
    </row>
    <row r="42" spans="1:5">
      <c r="A42" t="s">
        <v>120</v>
      </c>
      <c r="B42" t="s">
        <v>8</v>
      </c>
      <c r="C42" t="s">
        <v>121</v>
      </c>
      <c r="D42" t="s">
        <v>122</v>
      </c>
      <c r="E42" t="s">
        <v>123</v>
      </c>
    </row>
    <row r="43" spans="1:5">
      <c r="A43" t="s">
        <v>124</v>
      </c>
      <c r="B43" t="s">
        <v>8</v>
      </c>
      <c r="C43" t="s">
        <v>124</v>
      </c>
      <c r="D43" t="s">
        <v>125</v>
      </c>
    </row>
    <row r="44" spans="1:5" ht="275.45">
      <c r="A44" t="s">
        <v>126</v>
      </c>
      <c r="B44" t="s">
        <v>8</v>
      </c>
      <c r="C44" t="s">
        <v>127</v>
      </c>
      <c r="D44" s="2" t="s">
        <v>128</v>
      </c>
      <c r="E44" t="s">
        <v>129</v>
      </c>
    </row>
    <row r="45" spans="1:5">
      <c r="A45" t="s">
        <v>130</v>
      </c>
      <c r="B45" t="s">
        <v>8</v>
      </c>
      <c r="C45" t="s">
        <v>131</v>
      </c>
      <c r="D45" t="s">
        <v>129</v>
      </c>
      <c r="E45" t="s">
        <v>129</v>
      </c>
    </row>
    <row r="46" spans="1:5">
      <c r="A46" t="s">
        <v>132</v>
      </c>
      <c r="B46" t="s">
        <v>8</v>
      </c>
      <c r="C46" t="s">
        <v>133</v>
      </c>
      <c r="D46" t="s">
        <v>133</v>
      </c>
      <c r="E46" t="s">
        <v>133</v>
      </c>
    </row>
    <row r="47" spans="1:5" ht="72.599999999999994">
      <c r="A47" t="s">
        <v>134</v>
      </c>
      <c r="B47" t="s">
        <v>8</v>
      </c>
      <c r="C47" t="s">
        <v>135</v>
      </c>
      <c r="D47" s="2" t="s">
        <v>136</v>
      </c>
    </row>
    <row r="48" spans="1:5" ht="87">
      <c r="A48" t="s">
        <v>137</v>
      </c>
      <c r="B48" t="s">
        <v>8</v>
      </c>
      <c r="C48" t="s">
        <v>138</v>
      </c>
      <c r="D48" s="2" t="s">
        <v>139</v>
      </c>
    </row>
    <row r="49" spans="1:5" ht="101.45">
      <c r="A49" t="s">
        <v>140</v>
      </c>
      <c r="B49" t="s">
        <v>8</v>
      </c>
      <c r="C49" t="s">
        <v>140</v>
      </c>
      <c r="D49" s="2" t="s">
        <v>141</v>
      </c>
    </row>
    <row r="50" spans="1:5" ht="72.599999999999994">
      <c r="A50" t="s">
        <v>142</v>
      </c>
      <c r="B50" t="s">
        <v>8</v>
      </c>
      <c r="C50" t="s">
        <v>142</v>
      </c>
      <c r="D50" s="2" t="s">
        <v>143</v>
      </c>
    </row>
    <row r="51" spans="1:5">
      <c r="A51" t="s">
        <v>144</v>
      </c>
      <c r="B51" t="s">
        <v>8</v>
      </c>
      <c r="C51" t="s">
        <v>144</v>
      </c>
      <c r="D51" t="s">
        <v>144</v>
      </c>
      <c r="E51" t="s">
        <v>144</v>
      </c>
    </row>
    <row r="52" spans="1:5">
      <c r="A52" t="s">
        <v>145</v>
      </c>
      <c r="B52" t="s">
        <v>8</v>
      </c>
      <c r="C52" t="s">
        <v>145</v>
      </c>
      <c r="D52" t="s">
        <v>145</v>
      </c>
      <c r="E52" t="s">
        <v>145</v>
      </c>
    </row>
    <row r="53" spans="1:5">
      <c r="A53" t="s">
        <v>146</v>
      </c>
      <c r="B53" t="s">
        <v>8</v>
      </c>
      <c r="C53" t="s">
        <v>146</v>
      </c>
      <c r="D53" t="s">
        <v>146</v>
      </c>
      <c r="E53" t="s">
        <v>146</v>
      </c>
    </row>
    <row r="54" spans="1:5">
      <c r="A54" t="s">
        <v>147</v>
      </c>
      <c r="B54" t="s">
        <v>148</v>
      </c>
      <c r="C54" t="s">
        <v>147</v>
      </c>
      <c r="D54" t="s">
        <v>149</v>
      </c>
      <c r="E54" t="s">
        <v>147</v>
      </c>
    </row>
    <row r="55" spans="1:5">
      <c r="A55" t="s">
        <v>150</v>
      </c>
      <c r="B55" t="s">
        <v>148</v>
      </c>
      <c r="C55" t="s">
        <v>150</v>
      </c>
      <c r="D55" t="s">
        <v>151</v>
      </c>
      <c r="E55" t="s">
        <v>150</v>
      </c>
    </row>
    <row r="56" spans="1:5">
      <c r="A56" t="s">
        <v>152</v>
      </c>
      <c r="B56" t="s">
        <v>148</v>
      </c>
      <c r="C56" t="s">
        <v>152</v>
      </c>
      <c r="D56" t="s">
        <v>153</v>
      </c>
      <c r="E56" t="s">
        <v>152</v>
      </c>
    </row>
    <row r="57" spans="1:5">
      <c r="A57" t="s">
        <v>154</v>
      </c>
      <c r="B57" t="s">
        <v>8</v>
      </c>
      <c r="C57" t="s">
        <v>154</v>
      </c>
      <c r="D57" t="s">
        <v>154</v>
      </c>
      <c r="E57" t="s">
        <v>154</v>
      </c>
    </row>
    <row r="58" spans="1:5">
      <c r="A58" t="s">
        <v>155</v>
      </c>
      <c r="B58" t="s">
        <v>8</v>
      </c>
      <c r="C58" t="s">
        <v>156</v>
      </c>
      <c r="D58" t="s">
        <v>155</v>
      </c>
      <c r="E58" t="s">
        <v>155</v>
      </c>
    </row>
    <row r="59" spans="1:5">
      <c r="A59" t="s">
        <v>157</v>
      </c>
      <c r="B59" t="s">
        <v>8</v>
      </c>
      <c r="C59" t="s">
        <v>158</v>
      </c>
      <c r="D59" t="s">
        <v>158</v>
      </c>
      <c r="E59" t="s">
        <v>158</v>
      </c>
    </row>
    <row r="60" spans="1:5">
      <c r="A60" t="s">
        <v>159</v>
      </c>
      <c r="B60" t="s">
        <v>8</v>
      </c>
      <c r="C60" t="s">
        <v>160</v>
      </c>
      <c r="D60" t="s">
        <v>160</v>
      </c>
      <c r="E60" t="s">
        <v>160</v>
      </c>
    </row>
    <row r="61" spans="1:5" ht="87">
      <c r="A61" t="s">
        <v>161</v>
      </c>
      <c r="B61" t="s">
        <v>8</v>
      </c>
      <c r="C61" s="2" t="s">
        <v>162</v>
      </c>
      <c r="D61" t="s">
        <v>160</v>
      </c>
      <c r="E61" t="s">
        <v>160</v>
      </c>
    </row>
    <row r="62" spans="1:5">
      <c r="A62" t="s">
        <v>163</v>
      </c>
      <c r="B62" t="s">
        <v>8</v>
      </c>
      <c r="C62" t="s">
        <v>160</v>
      </c>
      <c r="D62" t="s">
        <v>160</v>
      </c>
      <c r="E62" t="s">
        <v>160</v>
      </c>
    </row>
  </sheetData>
  <conditionalFormatting sqref="E1:E1048576 G16 G18 F23:G23 G30 F28:F29 F32">
    <cfRule type="duplicateValues" dxfId="4" priority="4"/>
  </conditionalFormatting>
  <conditionalFormatting sqref="F25">
    <cfRule type="duplicateValues" dxfId="3" priority="3"/>
  </conditionalFormatting>
  <conditionalFormatting sqref="G25">
    <cfRule type="duplicateValues" dxfId="2" priority="2"/>
  </conditionalFormatting>
  <conditionalFormatting sqref="G31">
    <cfRule type="duplicateValues" dxfId="1" priority="1"/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B6BF-4A42-42D2-9291-D75EACEB6E71}">
  <dimension ref="A1:G151"/>
  <sheetViews>
    <sheetView tabSelected="1" workbookViewId="0">
      <pane ySplit="1" topLeftCell="A8" activePane="bottomLeft" state="frozen"/>
      <selection pane="bottomLeft" activeCell="F11" sqref="F11"/>
    </sheetView>
  </sheetViews>
  <sheetFormatPr defaultColWidth="26" defaultRowHeight="15"/>
  <cols>
    <col min="1" max="1" width="37.5703125" bestFit="1" customWidth="1"/>
    <col min="2" max="2" width="20.85546875" customWidth="1"/>
    <col min="3" max="3" width="33.140625" customWidth="1"/>
    <col min="4" max="4" width="34.28515625" customWidth="1"/>
  </cols>
  <sheetData>
    <row r="1" spans="1:7">
      <c r="A1" s="1" t="s">
        <v>0</v>
      </c>
      <c r="B1" s="1" t="s">
        <v>164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.75">
      <c r="A2" s="9" t="s">
        <v>165</v>
      </c>
      <c r="B2" t="s">
        <v>166</v>
      </c>
      <c r="C2" s="9" t="s">
        <v>165</v>
      </c>
      <c r="D2" t="s">
        <v>167</v>
      </c>
      <c r="G2" t="s">
        <v>168</v>
      </c>
    </row>
    <row r="3" spans="1:7" ht="118.5" customHeight="1">
      <c r="A3" s="9" t="s">
        <v>169</v>
      </c>
      <c r="C3" s="9" t="s">
        <v>169</v>
      </c>
      <c r="D3" s="10" t="s">
        <v>170</v>
      </c>
    </row>
    <row r="4" spans="1:7" ht="15.75">
      <c r="A4" s="9" t="s">
        <v>171</v>
      </c>
      <c r="C4" s="9" t="s">
        <v>171</v>
      </c>
      <c r="D4" s="9" t="s">
        <v>171</v>
      </c>
      <c r="E4" s="9" t="s">
        <v>171</v>
      </c>
      <c r="F4" t="s">
        <v>172</v>
      </c>
    </row>
    <row r="5" spans="1:7" ht="30.75">
      <c r="A5" s="9" t="s">
        <v>173</v>
      </c>
      <c r="C5" s="2" t="s">
        <v>174</v>
      </c>
      <c r="D5" t="s">
        <v>175</v>
      </c>
      <c r="E5" t="s">
        <v>175</v>
      </c>
      <c r="F5" t="s">
        <v>172</v>
      </c>
    </row>
    <row r="6" spans="1:7" ht="45.75">
      <c r="A6" s="9" t="s">
        <v>176</v>
      </c>
      <c r="C6" t="s">
        <v>177</v>
      </c>
      <c r="D6" s="2" t="s">
        <v>178</v>
      </c>
    </row>
    <row r="7" spans="1:7" ht="30.75">
      <c r="A7" s="9" t="s">
        <v>179</v>
      </c>
      <c r="B7" t="s">
        <v>166</v>
      </c>
      <c r="C7" t="s">
        <v>180</v>
      </c>
      <c r="D7" t="s">
        <v>181</v>
      </c>
      <c r="E7" s="11" t="s">
        <v>182</v>
      </c>
      <c r="F7" s="2" t="s">
        <v>183</v>
      </c>
      <c r="G7" s="12" t="s">
        <v>183</v>
      </c>
    </row>
    <row r="8" spans="1:7" ht="30.75">
      <c r="A8" s="9" t="s">
        <v>184</v>
      </c>
      <c r="B8" t="s">
        <v>166</v>
      </c>
      <c r="C8" s="9" t="s">
        <v>184</v>
      </c>
      <c r="D8" t="s">
        <v>185</v>
      </c>
      <c r="E8" s="13" t="s">
        <v>186</v>
      </c>
      <c r="F8" s="2" t="s">
        <v>187</v>
      </c>
      <c r="G8" s="2" t="s">
        <v>187</v>
      </c>
    </row>
    <row r="9" spans="1:7" ht="91.5">
      <c r="A9" s="9" t="s">
        <v>188</v>
      </c>
      <c r="C9" s="9" t="s">
        <v>188</v>
      </c>
      <c r="D9" s="14" t="s">
        <v>189</v>
      </c>
      <c r="E9" s="2" t="s">
        <v>190</v>
      </c>
      <c r="F9" s="2" t="s">
        <v>191</v>
      </c>
      <c r="G9" s="2" t="s">
        <v>192</v>
      </c>
    </row>
    <row r="10" spans="1:7" ht="15.75">
      <c r="A10" s="9" t="s">
        <v>193</v>
      </c>
      <c r="C10" s="9" t="s">
        <v>193</v>
      </c>
      <c r="D10" t="s">
        <v>194</v>
      </c>
      <c r="E10" s="11" t="s">
        <v>195</v>
      </c>
      <c r="F10" t="s">
        <v>172</v>
      </c>
    </row>
    <row r="11" spans="1:7" ht="60.75">
      <c r="A11" s="9" t="s">
        <v>196</v>
      </c>
      <c r="C11" s="9" t="s">
        <v>196</v>
      </c>
      <c r="D11" s="2" t="s">
        <v>197</v>
      </c>
      <c r="E11" s="15" t="s">
        <v>198</v>
      </c>
      <c r="F11" s="2" t="s">
        <v>198</v>
      </c>
    </row>
    <row r="12" spans="1:7" ht="15.75">
      <c r="A12" s="9" t="s">
        <v>199</v>
      </c>
    </row>
    <row r="13" spans="1:7" ht="15.75">
      <c r="A13" s="9" t="s">
        <v>200</v>
      </c>
    </row>
    <row r="14" spans="1:7" ht="15.75">
      <c r="A14" s="9" t="s">
        <v>201</v>
      </c>
    </row>
    <row r="15" spans="1:7" ht="15.75">
      <c r="A15" s="9" t="s">
        <v>202</v>
      </c>
    </row>
    <row r="16" spans="1:7" ht="15.75">
      <c r="A16" s="9" t="s">
        <v>203</v>
      </c>
    </row>
    <row r="17" spans="1:1" ht="15.75">
      <c r="A17" s="9" t="s">
        <v>204</v>
      </c>
    </row>
    <row r="18" spans="1:1" ht="15.75">
      <c r="A18" s="9" t="s">
        <v>205</v>
      </c>
    </row>
    <row r="19" spans="1:1" ht="15.75">
      <c r="A19" s="9" t="s">
        <v>206</v>
      </c>
    </row>
    <row r="20" spans="1:1" ht="15.75">
      <c r="A20" s="9" t="s">
        <v>207</v>
      </c>
    </row>
    <row r="21" spans="1:1" ht="15.75">
      <c r="A21" s="9" t="s">
        <v>208</v>
      </c>
    </row>
    <row r="22" spans="1:1" ht="15.75">
      <c r="A22" s="9" t="s">
        <v>209</v>
      </c>
    </row>
    <row r="23" spans="1:1" ht="15.75">
      <c r="A23" s="9" t="s">
        <v>210</v>
      </c>
    </row>
    <row r="24" spans="1:1" ht="15.75">
      <c r="A24" s="9" t="s">
        <v>211</v>
      </c>
    </row>
    <row r="25" spans="1:1" ht="15.75">
      <c r="A25" s="9" t="s">
        <v>212</v>
      </c>
    </row>
    <row r="26" spans="1:1" ht="15.75">
      <c r="A26" s="9" t="s">
        <v>213</v>
      </c>
    </row>
    <row r="27" spans="1:1" ht="15.75">
      <c r="A27" s="9" t="s">
        <v>214</v>
      </c>
    </row>
    <row r="28" spans="1:1" ht="15.75">
      <c r="A28" s="9" t="s">
        <v>215</v>
      </c>
    </row>
    <row r="29" spans="1:1" ht="15.75">
      <c r="A29" s="9" t="s">
        <v>216</v>
      </c>
    </row>
    <row r="30" spans="1:1" ht="15.75">
      <c r="A30" s="9" t="s">
        <v>217</v>
      </c>
    </row>
    <row r="31" spans="1:1" ht="15.75">
      <c r="A31" s="9" t="s">
        <v>218</v>
      </c>
    </row>
    <row r="32" spans="1:1" ht="15.75">
      <c r="A32" s="9" t="s">
        <v>219</v>
      </c>
    </row>
    <row r="33" spans="1:1" ht="15.75">
      <c r="A33" s="9" t="s">
        <v>220</v>
      </c>
    </row>
    <row r="34" spans="1:1" ht="15.75">
      <c r="A34" s="9" t="s">
        <v>221</v>
      </c>
    </row>
    <row r="35" spans="1:1" ht="15.75">
      <c r="A35" s="9" t="s">
        <v>222</v>
      </c>
    </row>
    <row r="36" spans="1:1" ht="15.75">
      <c r="A36" s="9" t="s">
        <v>223</v>
      </c>
    </row>
    <row r="37" spans="1:1" ht="15.75">
      <c r="A37" s="9" t="s">
        <v>224</v>
      </c>
    </row>
    <row r="38" spans="1:1" ht="15.75">
      <c r="A38" s="9" t="s">
        <v>225</v>
      </c>
    </row>
    <row r="39" spans="1:1" ht="15.75">
      <c r="A39" s="9" t="s">
        <v>226</v>
      </c>
    </row>
    <row r="40" spans="1:1" ht="15.75">
      <c r="A40" s="9" t="s">
        <v>227</v>
      </c>
    </row>
    <row r="41" spans="1:1" ht="15.75">
      <c r="A41" s="9" t="s">
        <v>228</v>
      </c>
    </row>
    <row r="42" spans="1:1" ht="15.75">
      <c r="A42" s="9" t="s">
        <v>229</v>
      </c>
    </row>
    <row r="43" spans="1:1" ht="15.75">
      <c r="A43" s="9" t="s">
        <v>230</v>
      </c>
    </row>
    <row r="44" spans="1:1" ht="15.75">
      <c r="A44" s="9" t="s">
        <v>231</v>
      </c>
    </row>
    <row r="45" spans="1:1" ht="15.75">
      <c r="A45" s="9" t="s">
        <v>232</v>
      </c>
    </row>
    <row r="46" spans="1:1" ht="15.75">
      <c r="A46" s="9" t="s">
        <v>233</v>
      </c>
    </row>
    <row r="47" spans="1:1" ht="15.75">
      <c r="A47" s="9" t="s">
        <v>234</v>
      </c>
    </row>
    <row r="48" spans="1:1" ht="15.75">
      <c r="A48" s="9" t="s">
        <v>235</v>
      </c>
    </row>
    <row r="49" spans="1:1" ht="15.75">
      <c r="A49" s="9" t="s">
        <v>236</v>
      </c>
    </row>
    <row r="50" spans="1:1" ht="15.75">
      <c r="A50" s="9" t="s">
        <v>237</v>
      </c>
    </row>
    <row r="51" spans="1:1" ht="15.75">
      <c r="A51" s="9" t="s">
        <v>238</v>
      </c>
    </row>
    <row r="52" spans="1:1" ht="15.75">
      <c r="A52" s="9" t="s">
        <v>239</v>
      </c>
    </row>
    <row r="53" spans="1:1" ht="15.75">
      <c r="A53" s="9" t="s">
        <v>240</v>
      </c>
    </row>
    <row r="54" spans="1:1" ht="15.75">
      <c r="A54" s="9" t="s">
        <v>241</v>
      </c>
    </row>
    <row r="55" spans="1:1" ht="15.75">
      <c r="A55" s="9" t="s">
        <v>242</v>
      </c>
    </row>
    <row r="56" spans="1:1" ht="15.75">
      <c r="A56" s="9" t="s">
        <v>243</v>
      </c>
    </row>
    <row r="57" spans="1:1" ht="15.75">
      <c r="A57" s="9" t="s">
        <v>244</v>
      </c>
    </row>
    <row r="58" spans="1:1" ht="15.75">
      <c r="A58" s="9" t="s">
        <v>245</v>
      </c>
    </row>
    <row r="59" spans="1:1" ht="15.75">
      <c r="A59" s="9" t="s">
        <v>246</v>
      </c>
    </row>
    <row r="60" spans="1:1" ht="15.75">
      <c r="A60" s="9" t="s">
        <v>247</v>
      </c>
    </row>
    <row r="61" spans="1:1" ht="15.75">
      <c r="A61" s="9" t="s">
        <v>248</v>
      </c>
    </row>
    <row r="62" spans="1:1" ht="15.75">
      <c r="A62" s="9" t="s">
        <v>249</v>
      </c>
    </row>
    <row r="63" spans="1:1" ht="15.75">
      <c r="A63" s="9" t="s">
        <v>250</v>
      </c>
    </row>
    <row r="64" spans="1:1" ht="15.75">
      <c r="A64" s="9" t="s">
        <v>251</v>
      </c>
    </row>
    <row r="65" spans="1:1" ht="15.75">
      <c r="A65" s="9" t="s">
        <v>252</v>
      </c>
    </row>
    <row r="66" spans="1:1" ht="15.75">
      <c r="A66" s="9" t="s">
        <v>253</v>
      </c>
    </row>
    <row r="67" spans="1:1" ht="15.75">
      <c r="A67" s="9" t="s">
        <v>254</v>
      </c>
    </row>
    <row r="68" spans="1:1" ht="15.75">
      <c r="A68" s="9" t="s">
        <v>255</v>
      </c>
    </row>
    <row r="69" spans="1:1" ht="15.75">
      <c r="A69" s="9" t="s">
        <v>256</v>
      </c>
    </row>
    <row r="70" spans="1:1" ht="15.75">
      <c r="A70" s="9" t="s">
        <v>257</v>
      </c>
    </row>
    <row r="71" spans="1:1" ht="15.75">
      <c r="A71" s="9" t="s">
        <v>258</v>
      </c>
    </row>
    <row r="72" spans="1:1" ht="15.75">
      <c r="A72" s="9" t="s">
        <v>259</v>
      </c>
    </row>
    <row r="73" spans="1:1" ht="15.75">
      <c r="A73" s="9" t="s">
        <v>260</v>
      </c>
    </row>
    <row r="74" spans="1:1" ht="15.75">
      <c r="A74" s="9" t="s">
        <v>261</v>
      </c>
    </row>
    <row r="75" spans="1:1" ht="15.75">
      <c r="A75" s="9" t="s">
        <v>262</v>
      </c>
    </row>
    <row r="76" spans="1:1" ht="15.75">
      <c r="A76" s="9" t="s">
        <v>263</v>
      </c>
    </row>
    <row r="77" spans="1:1" ht="15.75">
      <c r="A77" s="9" t="s">
        <v>264</v>
      </c>
    </row>
    <row r="78" spans="1:1" ht="15.75">
      <c r="A78" s="9" t="s">
        <v>265</v>
      </c>
    </row>
    <row r="79" spans="1:1" ht="15.75">
      <c r="A79" s="9" t="s">
        <v>266</v>
      </c>
    </row>
    <row r="80" spans="1:1" ht="15.75">
      <c r="A80" s="9" t="s">
        <v>267</v>
      </c>
    </row>
    <row r="81" spans="1:1" ht="15.75">
      <c r="A81" s="9" t="s">
        <v>268</v>
      </c>
    </row>
    <row r="82" spans="1:1" ht="15.75">
      <c r="A82" s="9" t="s">
        <v>269</v>
      </c>
    </row>
    <row r="83" spans="1:1" ht="15.75">
      <c r="A83" s="9" t="s">
        <v>270</v>
      </c>
    </row>
    <row r="84" spans="1:1" ht="15.75">
      <c r="A84" s="9" t="s">
        <v>271</v>
      </c>
    </row>
    <row r="85" spans="1:1" ht="15.75">
      <c r="A85" s="9" t="s">
        <v>272</v>
      </c>
    </row>
    <row r="86" spans="1:1" ht="15.75">
      <c r="A86" s="9" t="s">
        <v>273</v>
      </c>
    </row>
    <row r="87" spans="1:1" ht="15.75">
      <c r="A87" s="9" t="s">
        <v>274</v>
      </c>
    </row>
    <row r="88" spans="1:1" ht="15.75">
      <c r="A88" s="9" t="s">
        <v>275</v>
      </c>
    </row>
    <row r="89" spans="1:1" ht="15.75">
      <c r="A89" s="9" t="s">
        <v>276</v>
      </c>
    </row>
    <row r="90" spans="1:1" ht="15.75">
      <c r="A90" s="9" t="s">
        <v>277</v>
      </c>
    </row>
    <row r="91" spans="1:1" ht="15.75">
      <c r="A91" s="9" t="s">
        <v>278</v>
      </c>
    </row>
    <row r="92" spans="1:1" ht="15.75">
      <c r="A92" s="9" t="s">
        <v>279</v>
      </c>
    </row>
    <row r="93" spans="1:1" ht="15.75">
      <c r="A93" s="9" t="s">
        <v>280</v>
      </c>
    </row>
    <row r="94" spans="1:1" ht="15.75">
      <c r="A94" s="9" t="s">
        <v>281</v>
      </c>
    </row>
    <row r="95" spans="1:1" ht="15.75">
      <c r="A95" s="9" t="s">
        <v>282</v>
      </c>
    </row>
    <row r="96" spans="1:1" ht="15.75">
      <c r="A96" s="9" t="s">
        <v>283</v>
      </c>
    </row>
    <row r="97" spans="1:1" ht="15.75">
      <c r="A97" s="9" t="s">
        <v>284</v>
      </c>
    </row>
    <row r="98" spans="1:1" ht="15.75">
      <c r="A98" s="9" t="s">
        <v>285</v>
      </c>
    </row>
    <row r="99" spans="1:1" ht="15.75">
      <c r="A99" s="9" t="s">
        <v>286</v>
      </c>
    </row>
    <row r="100" spans="1:1" ht="15.75">
      <c r="A100" s="9" t="s">
        <v>287</v>
      </c>
    </row>
    <row r="101" spans="1:1" ht="15.75">
      <c r="A101" s="9" t="s">
        <v>288</v>
      </c>
    </row>
    <row r="102" spans="1:1" ht="15.75">
      <c r="A102" s="9" t="s">
        <v>289</v>
      </c>
    </row>
    <row r="103" spans="1:1" ht="15.75">
      <c r="A103" s="9" t="s">
        <v>290</v>
      </c>
    </row>
    <row r="104" spans="1:1" ht="15.75">
      <c r="A104" s="9" t="s">
        <v>291</v>
      </c>
    </row>
    <row r="105" spans="1:1" ht="15.75">
      <c r="A105" s="9" t="s">
        <v>292</v>
      </c>
    </row>
    <row r="106" spans="1:1" ht="15.75">
      <c r="A106" s="9" t="s">
        <v>293</v>
      </c>
    </row>
    <row r="107" spans="1:1" ht="15.75">
      <c r="A107" s="9" t="s">
        <v>294</v>
      </c>
    </row>
    <row r="108" spans="1:1" ht="15.75">
      <c r="A108" s="9" t="s">
        <v>295</v>
      </c>
    </row>
    <row r="109" spans="1:1" ht="15.75">
      <c r="A109" s="9" t="s">
        <v>296</v>
      </c>
    </row>
    <row r="110" spans="1:1" ht="15.75">
      <c r="A110" s="9" t="s">
        <v>297</v>
      </c>
    </row>
    <row r="111" spans="1:1" ht="15.75">
      <c r="A111" s="9" t="s">
        <v>298</v>
      </c>
    </row>
    <row r="112" spans="1:1" ht="15.75">
      <c r="A112" s="9" t="s">
        <v>299</v>
      </c>
    </row>
    <row r="113" spans="1:1" ht="15.75">
      <c r="A113" s="9" t="s">
        <v>300</v>
      </c>
    </row>
    <row r="114" spans="1:1" ht="15.75">
      <c r="A114" s="9" t="s">
        <v>301</v>
      </c>
    </row>
    <row r="115" spans="1:1" ht="15.75">
      <c r="A115" s="9" t="s">
        <v>302</v>
      </c>
    </row>
    <row r="116" spans="1:1" ht="15.75">
      <c r="A116" s="9" t="s">
        <v>303</v>
      </c>
    </row>
    <row r="117" spans="1:1" ht="15.75">
      <c r="A117" s="9" t="s">
        <v>304</v>
      </c>
    </row>
    <row r="118" spans="1:1" ht="15.75">
      <c r="A118" s="9" t="s">
        <v>305</v>
      </c>
    </row>
    <row r="119" spans="1:1" ht="15.75">
      <c r="A119" s="9" t="s">
        <v>306</v>
      </c>
    </row>
    <row r="120" spans="1:1" ht="15.75">
      <c r="A120" s="9" t="s">
        <v>307</v>
      </c>
    </row>
    <row r="121" spans="1:1" ht="15.75">
      <c r="A121" s="9" t="s">
        <v>308</v>
      </c>
    </row>
    <row r="122" spans="1:1" ht="15.75">
      <c r="A122" s="9" t="s">
        <v>309</v>
      </c>
    </row>
    <row r="123" spans="1:1" ht="15.75">
      <c r="A123" s="9" t="s">
        <v>310</v>
      </c>
    </row>
    <row r="124" spans="1:1" ht="15.75">
      <c r="A124" s="9" t="s">
        <v>311</v>
      </c>
    </row>
    <row r="125" spans="1:1" ht="15.75">
      <c r="A125" s="9" t="s">
        <v>312</v>
      </c>
    </row>
    <row r="126" spans="1:1" ht="15.75">
      <c r="A126" s="9" t="s">
        <v>313</v>
      </c>
    </row>
    <row r="127" spans="1:1" ht="15.75">
      <c r="A127" s="9" t="s">
        <v>314</v>
      </c>
    </row>
    <row r="128" spans="1:1" ht="15.75">
      <c r="A128" s="9" t="s">
        <v>315</v>
      </c>
    </row>
    <row r="129" spans="1:1" ht="15.75">
      <c r="A129" s="9" t="s">
        <v>316</v>
      </c>
    </row>
    <row r="130" spans="1:1" ht="15.75">
      <c r="A130" s="9" t="s">
        <v>317</v>
      </c>
    </row>
    <row r="131" spans="1:1" ht="15.75">
      <c r="A131" s="9" t="s">
        <v>318</v>
      </c>
    </row>
    <row r="132" spans="1:1" ht="15.75">
      <c r="A132" s="9" t="s">
        <v>319</v>
      </c>
    </row>
    <row r="133" spans="1:1" ht="15.75">
      <c r="A133" s="9" t="s">
        <v>320</v>
      </c>
    </row>
    <row r="134" spans="1:1" ht="15.75">
      <c r="A134" s="9" t="s">
        <v>321</v>
      </c>
    </row>
    <row r="135" spans="1:1" ht="15.75">
      <c r="A135" s="9" t="s">
        <v>322</v>
      </c>
    </row>
    <row r="136" spans="1:1" ht="15.75">
      <c r="A136" s="9" t="s">
        <v>323</v>
      </c>
    </row>
    <row r="137" spans="1:1" ht="15.75">
      <c r="A137" s="9" t="s">
        <v>324</v>
      </c>
    </row>
    <row r="138" spans="1:1" ht="15.75">
      <c r="A138" s="9" t="s">
        <v>325</v>
      </c>
    </row>
    <row r="139" spans="1:1" ht="15.75">
      <c r="A139" s="9" t="s">
        <v>326</v>
      </c>
    </row>
    <row r="140" spans="1:1" ht="15.75">
      <c r="A140" s="9" t="s">
        <v>327</v>
      </c>
    </row>
    <row r="141" spans="1:1" ht="15.75">
      <c r="A141" s="9" t="s">
        <v>328</v>
      </c>
    </row>
    <row r="142" spans="1:1" ht="15.75">
      <c r="A142" s="9" t="s">
        <v>329</v>
      </c>
    </row>
    <row r="143" spans="1:1" ht="15.75">
      <c r="A143" s="9" t="s">
        <v>330</v>
      </c>
    </row>
    <row r="144" spans="1:1" ht="15.75">
      <c r="A144" s="9" t="s">
        <v>331</v>
      </c>
    </row>
    <row r="145" spans="1:1" ht="15.75">
      <c r="A145" s="9" t="s">
        <v>332</v>
      </c>
    </row>
    <row r="146" spans="1:1" ht="15.75">
      <c r="A146" s="9" t="s">
        <v>333</v>
      </c>
    </row>
    <row r="147" spans="1:1" ht="15.75">
      <c r="A147" s="9" t="s">
        <v>334</v>
      </c>
    </row>
    <row r="148" spans="1:1" ht="15.75">
      <c r="A148" s="9" t="s">
        <v>335</v>
      </c>
    </row>
    <row r="149" spans="1:1" ht="15.75">
      <c r="A149" s="9" t="s">
        <v>336</v>
      </c>
    </row>
    <row r="150" spans="1:1" ht="15.75">
      <c r="A150" s="9" t="s">
        <v>337</v>
      </c>
    </row>
    <row r="151" spans="1:1" ht="15.75">
      <c r="A151" s="9" t="s">
        <v>338</v>
      </c>
    </row>
  </sheetData>
  <conditionalFormatting sqref="E1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1B7D6-3C42-41C7-97B2-6445CB8F53D5}">
  <dimension ref="A1:G19"/>
  <sheetViews>
    <sheetView workbookViewId="0">
      <selection activeCell="A2" sqref="A2"/>
    </sheetView>
  </sheetViews>
  <sheetFormatPr defaultRowHeight="15"/>
  <cols>
    <col min="1" max="1" width="32.140625" bestFit="1" customWidth="1"/>
    <col min="2" max="2" width="43.28515625" bestFit="1" customWidth="1"/>
    <col min="3" max="3" width="23.7109375" bestFit="1" customWidth="1"/>
    <col min="4" max="4" width="33.140625" bestFit="1" customWidth="1"/>
    <col min="5" max="5" width="30.42578125" bestFit="1" customWidth="1"/>
    <col min="6" max="7" width="30" bestFit="1" customWidth="1"/>
  </cols>
  <sheetData>
    <row r="1" spans="1:7">
      <c r="A1" s="5" t="s">
        <v>0</v>
      </c>
      <c r="B1" s="5" t="s">
        <v>6</v>
      </c>
      <c r="C1" s="5" t="s">
        <v>339</v>
      </c>
      <c r="D1" s="5" t="s">
        <v>340</v>
      </c>
      <c r="E1" s="5" t="s">
        <v>341</v>
      </c>
      <c r="F1" s="5" t="s">
        <v>342</v>
      </c>
      <c r="G1" s="5" t="s">
        <v>343</v>
      </c>
    </row>
    <row r="2" spans="1:7" s="3" customFormat="1">
      <c r="A2" s="6" t="s">
        <v>68</v>
      </c>
      <c r="B2" s="6" t="s">
        <v>344</v>
      </c>
      <c r="C2" s="6">
        <v>41748244</v>
      </c>
      <c r="D2" s="6" t="s">
        <v>345</v>
      </c>
      <c r="E2" s="6" t="s">
        <v>346</v>
      </c>
      <c r="F2" s="6" t="s">
        <v>347</v>
      </c>
      <c r="G2" s="6" t="s">
        <v>347</v>
      </c>
    </row>
    <row r="3" spans="1:7" s="3" customFormat="1">
      <c r="A3" s="6" t="s">
        <v>70</v>
      </c>
      <c r="B3" s="6" t="s">
        <v>344</v>
      </c>
      <c r="C3" s="6">
        <v>41748244</v>
      </c>
      <c r="D3" s="6" t="s">
        <v>348</v>
      </c>
      <c r="E3" s="6" t="s">
        <v>346</v>
      </c>
      <c r="F3" s="6" t="s">
        <v>347</v>
      </c>
      <c r="G3" s="6" t="s">
        <v>347</v>
      </c>
    </row>
    <row r="4" spans="1:7" ht="45.75">
      <c r="A4" s="7" t="s">
        <v>72</v>
      </c>
      <c r="B4" s="8" t="s">
        <v>349</v>
      </c>
      <c r="C4" s="7">
        <v>41748244</v>
      </c>
      <c r="D4" s="7" t="s">
        <v>350</v>
      </c>
      <c r="E4" s="7" t="s">
        <v>351</v>
      </c>
      <c r="F4" s="7" t="s">
        <v>350</v>
      </c>
      <c r="G4" s="7" t="s">
        <v>350</v>
      </c>
    </row>
    <row r="5" spans="1:7" ht="45.75">
      <c r="A5" s="7" t="s">
        <v>76</v>
      </c>
      <c r="B5" s="8" t="s">
        <v>349</v>
      </c>
      <c r="C5" s="7">
        <v>41748244</v>
      </c>
      <c r="D5" s="7" t="s">
        <v>352</v>
      </c>
      <c r="E5" s="7" t="s">
        <v>351</v>
      </c>
      <c r="F5" s="7" t="s">
        <v>352</v>
      </c>
      <c r="G5" s="7" t="s">
        <v>352</v>
      </c>
    </row>
    <row r="6" spans="1:7">
      <c r="A6" s="7" t="s">
        <v>81</v>
      </c>
      <c r="B6" s="7" t="s">
        <v>353</v>
      </c>
      <c r="C6" s="7">
        <v>41748244</v>
      </c>
      <c r="D6" s="6" t="s">
        <v>354</v>
      </c>
      <c r="E6" s="6" t="s">
        <v>355</v>
      </c>
      <c r="F6" s="7" t="s">
        <v>354</v>
      </c>
      <c r="G6" s="7" t="s">
        <v>354</v>
      </c>
    </row>
    <row r="7" spans="1:7" ht="30.75">
      <c r="A7" s="7" t="s">
        <v>96</v>
      </c>
      <c r="B7" s="8" t="s">
        <v>100</v>
      </c>
      <c r="C7" s="7">
        <v>41748244</v>
      </c>
      <c r="D7" s="7" t="s">
        <v>354</v>
      </c>
      <c r="E7" s="6" t="s">
        <v>355</v>
      </c>
      <c r="F7" s="7" t="s">
        <v>354</v>
      </c>
      <c r="G7" s="7" t="s">
        <v>354</v>
      </c>
    </row>
    <row r="8" spans="1:7" ht="45.75">
      <c r="A8" s="7" t="s">
        <v>101</v>
      </c>
      <c r="B8" s="8" t="s">
        <v>105</v>
      </c>
      <c r="C8" s="7">
        <v>41748244</v>
      </c>
      <c r="D8" s="7" t="s">
        <v>356</v>
      </c>
      <c r="E8" s="6" t="s">
        <v>355</v>
      </c>
      <c r="F8" s="6" t="s">
        <v>356</v>
      </c>
      <c r="G8" s="7" t="s">
        <v>356</v>
      </c>
    </row>
    <row r="9" spans="1:7">
      <c r="A9" s="7" t="s">
        <v>106</v>
      </c>
      <c r="B9" s="7"/>
      <c r="C9" s="7">
        <v>41748244</v>
      </c>
      <c r="D9" s="7" t="s">
        <v>354</v>
      </c>
      <c r="E9" s="6" t="s">
        <v>355</v>
      </c>
      <c r="F9" s="7" t="s">
        <v>354</v>
      </c>
      <c r="G9" s="7" t="s">
        <v>354</v>
      </c>
    </row>
    <row r="10" spans="1:7">
      <c r="A10" s="7" t="s">
        <v>107</v>
      </c>
      <c r="B10" s="7" t="s">
        <v>353</v>
      </c>
      <c r="C10" s="7">
        <v>41748244</v>
      </c>
      <c r="D10" s="7" t="s">
        <v>357</v>
      </c>
      <c r="E10" s="7" t="s">
        <v>355</v>
      </c>
      <c r="F10" s="7" t="s">
        <v>354</v>
      </c>
      <c r="G10" s="7" t="s">
        <v>357</v>
      </c>
    </row>
    <row r="11" spans="1:7">
      <c r="A11" s="7" t="s">
        <v>114</v>
      </c>
      <c r="B11" s="7" t="s">
        <v>358</v>
      </c>
      <c r="C11" s="7">
        <v>41748244</v>
      </c>
      <c r="D11" s="7" t="s">
        <v>359</v>
      </c>
      <c r="E11" s="7" t="s">
        <v>360</v>
      </c>
      <c r="F11" s="7" t="s">
        <v>359</v>
      </c>
      <c r="G11" s="7" t="s">
        <v>359</v>
      </c>
    </row>
    <row r="12" spans="1:7" ht="45.75">
      <c r="A12" s="7" t="s">
        <v>120</v>
      </c>
      <c r="B12" s="8" t="s">
        <v>349</v>
      </c>
      <c r="C12" s="7">
        <v>41748244</v>
      </c>
      <c r="D12" s="7" t="s">
        <v>361</v>
      </c>
      <c r="E12" s="7" t="s">
        <v>362</v>
      </c>
      <c r="F12" s="7" t="s">
        <v>361</v>
      </c>
      <c r="G12" s="7" t="s">
        <v>361</v>
      </c>
    </row>
    <row r="13" spans="1:7" ht="45.75">
      <c r="A13" s="7" t="s">
        <v>124</v>
      </c>
      <c r="B13" s="8" t="s">
        <v>349</v>
      </c>
      <c r="C13" s="7">
        <v>41748244</v>
      </c>
      <c r="D13" s="7" t="s">
        <v>363</v>
      </c>
      <c r="E13" s="7" t="s">
        <v>362</v>
      </c>
      <c r="F13" s="7" t="s">
        <v>361</v>
      </c>
      <c r="G13" s="7" t="s">
        <v>363</v>
      </c>
    </row>
    <row r="14" spans="1:7">
      <c r="A14" s="7" t="s">
        <v>134</v>
      </c>
      <c r="B14" s="7"/>
      <c r="C14" s="7"/>
      <c r="D14" s="7"/>
      <c r="E14" s="7"/>
      <c r="F14" s="7"/>
      <c r="G14" s="7"/>
    </row>
    <row r="15" spans="1:7">
      <c r="A15" s="7" t="s">
        <v>137</v>
      </c>
      <c r="B15" s="7"/>
      <c r="C15" s="7"/>
      <c r="D15" s="7"/>
      <c r="E15" s="7"/>
      <c r="F15" s="7"/>
      <c r="G15" s="7"/>
    </row>
    <row r="16" spans="1:7">
      <c r="A16" s="7" t="s">
        <v>140</v>
      </c>
      <c r="B16" s="7"/>
      <c r="C16" s="7"/>
      <c r="D16" s="7"/>
      <c r="E16" s="7"/>
      <c r="F16" s="7"/>
      <c r="G16" s="7"/>
    </row>
    <row r="17" spans="1:7">
      <c r="A17" s="7" t="s">
        <v>142</v>
      </c>
      <c r="B17" s="7"/>
      <c r="C17" s="7"/>
      <c r="D17" s="7"/>
      <c r="E17" s="7"/>
      <c r="F17" s="7"/>
      <c r="G17" s="7"/>
    </row>
    <row r="18" spans="1:7">
      <c r="A18" s="7" t="s">
        <v>154</v>
      </c>
      <c r="B18" s="7" t="s">
        <v>364</v>
      </c>
      <c r="C18" s="7"/>
      <c r="D18" s="7" t="s">
        <v>365</v>
      </c>
      <c r="E18" s="7" t="s">
        <v>366</v>
      </c>
      <c r="F18" s="7"/>
      <c r="G18" s="7" t="s">
        <v>365</v>
      </c>
    </row>
    <row r="19" spans="1:7">
      <c r="A19" s="7" t="s">
        <v>155</v>
      </c>
      <c r="B19" s="7"/>
      <c r="C19" s="7"/>
      <c r="D19" s="7" t="s">
        <v>365</v>
      </c>
      <c r="E19" s="7" t="s">
        <v>366</v>
      </c>
      <c r="F19" s="7"/>
      <c r="G19" s="7" t="s">
        <v>365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4866e3c-1afa-490b-983f-abb068739966" xsi:nil="true"/>
    <lcf76f155ced4ddcb4097134ff3c332f xmlns="e3dcfa08-c997-4940-b233-83e0e6a6d555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6B7A9A6AE82F49A59B73451720FDAB" ma:contentTypeVersion="12" ma:contentTypeDescription="Create a new document." ma:contentTypeScope="" ma:versionID="3364d84264f8b1cc123471783cb247a0">
  <xsd:schema xmlns:xsd="http://www.w3.org/2001/XMLSchema" xmlns:xs="http://www.w3.org/2001/XMLSchema" xmlns:p="http://schemas.microsoft.com/office/2006/metadata/properties" xmlns:ns2="e3dcfa08-c997-4940-b233-83e0e6a6d555" xmlns:ns3="a4866e3c-1afa-490b-983f-abb068739966" targetNamespace="http://schemas.microsoft.com/office/2006/metadata/properties" ma:root="true" ma:fieldsID="43c17697fb79bfbff116dd9f98c38359" ns2:_="" ns3:_="">
    <xsd:import namespace="e3dcfa08-c997-4940-b233-83e0e6a6d555"/>
    <xsd:import namespace="a4866e3c-1afa-490b-983f-abb0687399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3dcfa08-c997-4940-b233-83e0e6a6d55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df3829e-5a44-4a71-bd90-b819dfa2ae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866e3c-1afa-490b-983f-abb068739966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8da61b3-17ec-4993-8aba-088669547678}" ma:internalName="TaxCatchAll" ma:showField="CatchAllData" ma:web="a4866e3c-1afa-490b-983f-abb0687399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E8526F6-556A-4887-B8E2-B006703A45CC}"/>
</file>

<file path=customXml/itemProps2.xml><?xml version="1.0" encoding="utf-8"?>
<ds:datastoreItem xmlns:ds="http://schemas.openxmlformats.org/officeDocument/2006/customXml" ds:itemID="{25D407A2-7EB2-4A6C-B3D6-1CCC96484811}"/>
</file>

<file path=customXml/itemProps3.xml><?xml version="1.0" encoding="utf-8"?>
<ds:datastoreItem xmlns:ds="http://schemas.openxmlformats.org/officeDocument/2006/customXml" ds:itemID="{E159E5CA-4E09-4F48-8E32-89B2F3CCE8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NagaSowmya</dc:creator>
  <cp:keywords/>
  <dc:description/>
  <cp:lastModifiedBy/>
  <cp:revision/>
  <dcterms:created xsi:type="dcterms:W3CDTF">2026-04-30T07:33:20Z</dcterms:created>
  <dcterms:modified xsi:type="dcterms:W3CDTF">2026-05-25T12:58:20Z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0x0101002A6B7A9A6AE82F49A59B73451720FDAB</vt:lpwstr>
  </property>
  <property fmtid="{D5CDD505-2E9C-101B-9397-08002B2CF9AE}" pid="3" name="MediaServiceImageTags">
    <vt:lpwstr/>
  </property>
</Properties>
</file>