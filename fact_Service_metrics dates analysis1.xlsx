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600" firstSheet="1" activeTab="1" autoFilterDateGrouping="1"/>
  </bookViews>
  <sheets>
    <sheet name="FACT_SERVICE_METRICS_V Date Col" sheetId="1" state="visible" r:id="rId1"/>
    <sheet name="FACT_SERVICE_METRICS_V Columns" sheetId="2" state="visible" r:id="rId2"/>
    <sheet name="Only Sales order column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C65911"/>
      <sz val="11"/>
    </font>
    <font>
      <name val="Calibri"/>
      <family val="2"/>
      <color rgb="FFC65911"/>
      <sz val="11"/>
    </font>
    <font>
      <name val="Calibri"/>
      <family val="2"/>
      <color rgb="FF000000"/>
      <sz val="12"/>
    </font>
    <font>
      <name val="Calibri"/>
      <charset val="1"/>
      <color rgb="FF000000"/>
      <sz val="11"/>
    </font>
    <font>
      <name val="Aptos Narrow"/>
      <charset val="1"/>
      <color rgb="FF242424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D1" workbookViewId="0">
      <pane ySplit="1" topLeftCell="D2" activePane="bottomLeft" state="frozen"/>
      <selection pane="bottomLeft" activeCell="C1" sqref="C1:G1"/>
      <selection activeCell="B1" sqref="B1"/>
    </sheetView>
  </sheetViews>
  <sheetFormatPr baseColWidth="8" defaultColWidth="15.85546875" defaultRowHeight="14.45"/>
  <cols>
    <col width="34.85546875" bestFit="1" customWidth="1" min="1" max="1"/>
    <col width="11.42578125" bestFit="1" customWidth="1" min="2" max="2"/>
    <col width="35.140625" bestFit="1" customWidth="1" min="3" max="3"/>
    <col width="74.85546875" customWidth="1" min="4" max="4"/>
    <col width="35.42578125" bestFit="1" customWidth="1" min="5" max="5"/>
    <col width="42.140625" customWidth="1" min="6" max="6"/>
    <col width="45.140625" customWidth="1" min="7" max="7"/>
  </cols>
  <sheetData>
    <row r="1">
      <c r="A1" s="1" t="inlineStr">
        <is>
          <t xml:space="preserve">Column Name </t>
        </is>
      </c>
      <c r="B1" s="1" t="inlineStr">
        <is>
          <t>Data Type</t>
        </is>
      </c>
      <c r="C1" s="1" t="inlineStr">
        <is>
          <t>Logic in FACT_SERVICE_METRICS_V</t>
        </is>
      </c>
      <c r="D1" s="1" t="inlineStr">
        <is>
          <t>Logic in FACT_SERVICE_METRICS</t>
        </is>
      </c>
      <c r="E1" s="1" t="inlineStr">
        <is>
          <t>Columns in Sales order fact</t>
        </is>
      </c>
      <c r="F1" s="1" t="inlineStr">
        <is>
          <t>Logic in SO</t>
        </is>
      </c>
      <c r="G1" s="1" t="inlineStr">
        <is>
          <t>Final Source</t>
        </is>
      </c>
    </row>
    <row r="2" ht="96" customHeight="1">
      <c r="A2" t="inlineStr">
        <is>
          <t>BUFFERED_DELIVERY_TIME_LOCAL</t>
        </is>
      </c>
      <c r="B2" t="inlineStr">
        <is>
          <t>TIMESTAMP</t>
        </is>
      </c>
      <c r="C2" t="inlineStr">
        <is>
          <t>BUFFERED_APPOINTMENT_TIME</t>
        </is>
      </c>
      <c r="D2" s="2" t="inlineStr">
        <is>
          <t>CASE
                WHEN LOAD_TYPE = 'CustomerPickup'
                    OR CARRIER_NAME = 'WAL-MART TRANSPORTATION, INC.'
                    OR ( S_VIEW.CUSTOMER = 'TALKING RAIN BEVERAGE COMPANY, INC.'
                   AND CARRIER_NAME = 'HARALAMBOS BEVERAGE CO' ) THEN FINAL_REQUEST_DATE
                ELSE
                    CASE
                            WHEN DELIVERY_WINDOW_END IS NOT NULL
                               AND ( DELIVERY_WINDOW_END &gt; DELIVERY_APPOINTMENT
                                OR DELIVERY_APPOINTMENT IS NULL ) THEN DELIVERY_WINDOW_END
                            WHEN DELIVERY_APPOINTMENT IS NOT NULL
                               AND BUFFER_TIME_MINUTES IS NOT NULL THEN TIMESTAMPADD( MINUTE,BUFFER_TIME_MINUTES,DELIVERY_APPOINTMENT)
                            WHEN DELIVERY_APPOINTMENT IS NOT NULL THEN TIMESTAMPADD( HOUR,1,DELIVERY_APPOINTMENT )
                            ELSE NULL
                    END
            END  BUFFERED_APPOINTMENT_TIME</t>
        </is>
      </c>
      <c r="E2" s="2" t="inlineStr">
        <is>
          <t>All these columns are listed seperately                                                                                                                                                                                                                                                                FINAL_REQUEST_DATE                                                                                                                                                                                                                                                                DELIVERY_APPOINTMENT - APPOINTMENT_DELIVERY_LOCAL
                                                                                                                                                                                                                                                                DELIVERY_WINDOW_END -
LATE_DELIVERY_DATE_LOCAL</t>
        </is>
      </c>
    </row>
    <row r="3" ht="43.5" customHeight="1">
      <c r="A3" t="inlineStr">
        <is>
          <t>CHECK_IN_TIME_LOCAL</t>
        </is>
      </c>
      <c r="B3" t="inlineStr">
        <is>
          <t>TIMESTAMP</t>
        </is>
      </c>
      <c r="C3" t="inlineStr">
        <is>
          <t>CHECK_IN_TIME_LOCAL</t>
        </is>
      </c>
      <c r="D3" t="inlineStr">
        <is>
          <t>CHECK_IN_TIME_LOCAL</t>
        </is>
      </c>
      <c r="E3" t="inlineStr">
        <is>
          <t>CHECK_IN_TIME_LOCAL</t>
        </is>
      </c>
      <c r="F3" s="2" t="inlineStr">
        <is>
          <t>plp4 -&gt; plp1-&gt;NBL_E80_MANH_DW_CICO.FACT_CHECKIN_CHECKOUT</t>
        </is>
      </c>
      <c r="G3" s="2" t="inlineStr">
        <is>
          <t>NBL_E80_MANH_DW_CICO.CHECKIN_CHECKOUT_MANH all G1 to G 10 tables and E80 tables</t>
        </is>
      </c>
    </row>
    <row r="4" ht="130.5" customHeight="1">
      <c r="A4" t="inlineStr">
        <is>
          <t>CHECK_IN_TIME_PST</t>
        </is>
      </c>
      <c r="B4" t="inlineStr">
        <is>
          <t>TIMESTAMP</t>
        </is>
      </c>
      <c r="C4" t="inlineStr">
        <is>
          <t>CHECK_IN_TIME</t>
        </is>
      </c>
      <c r="D4" t="inlineStr">
        <is>
          <t>CHECK_IN_TIME</t>
        </is>
      </c>
      <c r="E4" t="inlineStr">
        <is>
          <t>CHECK_IN_TIME</t>
        </is>
      </c>
      <c r="F4" s="2" t="inlineStr">
        <is>
          <t>plp4 -&gt; plp1-&gt;NBL_E80_MANH_DW_CICO.FACT_CHECKIN_CHECKOUT</t>
        </is>
      </c>
      <c r="G4" s="2" t="inlineStr">
        <is>
          <t>from_utc_timestamp(
             to_utc_timestamp(
                 CC_FS.CHECK_IN_TIME_LOCAL, 
                 COALESCE(HR_ORG.X_TIME_ZONE_GID, 'America/Los_Angeles')
             ), 
             'America/Los_Angeles'
         )  --from above check in time local converting value to PST based on local timezone</t>
        </is>
      </c>
    </row>
    <row r="5" ht="43.5" customHeight="1">
      <c r="A5" t="inlineStr">
        <is>
          <t>CHECK_OUT_TIME_LOCAL</t>
        </is>
      </c>
      <c r="B5" t="inlineStr">
        <is>
          <t>TIMESTAMP</t>
        </is>
      </c>
      <c r="C5" t="inlineStr">
        <is>
          <t>CHECK_OUT_TIME_LOCAL</t>
        </is>
      </c>
      <c r="D5" t="inlineStr">
        <is>
          <t>CHECK_OUT_TIME_LOCAL</t>
        </is>
      </c>
      <c r="E5" t="inlineStr">
        <is>
          <t>CHECK_OUT_TIME_LOCAL</t>
        </is>
      </c>
      <c r="F5" s="2" t="inlineStr">
        <is>
          <t>plp4 -&gt; plp1-&gt;NBL_E80_MANH_DW_CICO.FACT_CHECKIN_CHECKOUT</t>
        </is>
      </c>
      <c r="G5" s="2" t="inlineStr">
        <is>
          <t>NBL_E80_MANH_DW_CICO.CHECKIN_CHECKOUT_MANH all G1 to G 10 tables and E80 tables</t>
        </is>
      </c>
    </row>
    <row r="6" ht="130.5" customHeight="1">
      <c r="A6" t="inlineStr">
        <is>
          <t>CHECK_OUT_TIME_PST</t>
        </is>
      </c>
      <c r="B6" t="inlineStr">
        <is>
          <t>TIMESTAMP</t>
        </is>
      </c>
      <c r="C6" t="inlineStr">
        <is>
          <t>CHECK_OUT_TIME</t>
        </is>
      </c>
      <c r="D6" t="inlineStr">
        <is>
          <t>CHECK_OUT_TIME</t>
        </is>
      </c>
      <c r="E6" t="inlineStr">
        <is>
          <t>CHECK_OUT_TIME</t>
        </is>
      </c>
      <c r="F6" s="2" t="inlineStr">
        <is>
          <t>plp4 -&gt; plp1-&gt;NBL_E80_MANH_DW_CICO.FACT_CHECKIN_CHECKOUT</t>
        </is>
      </c>
      <c r="G6" s="2" t="inlineStr">
        <is>
          <t>from_utc_timestamp(
             to_utc_timestamp(
                 CC_FS.CHECK_OUT_TIME_LOCAL, 
                 COALESCE(HR_ORG.X_TIME_ZONE_GID, 'America/Los_Angeles')
             ), 
             'America/Los_Angeles'
         )  --from above check out time converting value to PST based on local timezone</t>
        </is>
      </c>
    </row>
    <row r="7" ht="159.6" customHeight="1">
      <c r="A7" t="inlineStr">
        <is>
          <t>CLOSE_TRAILER</t>
        </is>
      </c>
      <c r="B7" t="inlineStr">
        <is>
          <t>TIMESTAMP</t>
        </is>
      </c>
      <c r="C7" t="inlineStr">
        <is>
          <t>CLOSE_TRAILER</t>
        </is>
      </c>
      <c r="D7" t="inlineStr">
        <is>
          <t>CLOSE_TRAILER</t>
        </is>
      </c>
      <c r="E7" t="inlineStr">
        <is>
          <t>CLOSE_TRAILER</t>
        </is>
      </c>
      <c r="F7" s="2" t="inlineStr">
        <is>
          <t>plp4 -&gt; plp1-&gt;NBL_E80_MANH_DW_CICO.FACT_CHECKIN_CHECKOUT--CLOSE_TRAILER_TIME_PST</t>
        </is>
      </c>
      <c r="G7" s="2" t="inlineStr">
        <is>
          <t>from_utc_timestamp(
             to_utc_timestamp(
                 CC_FS.CLOSE_TRAILER_TIME_LOCAL, 
                 COALESCE(HR_ORG.X_TIME_ZONE_GID, 'America/Los_Angeles')
             ), 
             'America/Los_Angeles'
         )
 END AS CLOSE_TRAILER_TIME_PST --from below close trailer local converting value to PST based on local timezone</t>
        </is>
      </c>
    </row>
    <row r="8" ht="43.5" customHeight="1">
      <c r="A8" t="inlineStr">
        <is>
          <t>CLOSE_TRAILER_LOCAL</t>
        </is>
      </c>
      <c r="B8" t="inlineStr">
        <is>
          <t>TIMESTAMP</t>
        </is>
      </c>
      <c r="C8" t="inlineStr">
        <is>
          <t>CLOSE_TRAILER_LOCAL</t>
        </is>
      </c>
      <c r="D8" t="inlineStr">
        <is>
          <t>CLOSE_TRAILER_LOCAL</t>
        </is>
      </c>
      <c r="E8" t="inlineStr">
        <is>
          <t>CLOSE_TRAILER_LOCAL</t>
        </is>
      </c>
      <c r="F8" s="2" t="inlineStr">
        <is>
          <t>plp4 -&gt; plp1-&gt;NBL_E80_MANH_DW_CICO.FACT_CHECKIN_CHECKOUT--CLOSE_TRAILER_TIME_LOCAL</t>
        </is>
      </c>
      <c r="G8" s="2" t="inlineStr">
        <is>
          <t>NBL_E80_MANH_DW_CICO.CHECKIN_CHECKOUT_MANH all G1 to G 10 tables and E80 tables</t>
        </is>
      </c>
    </row>
    <row r="9" ht="87" customHeight="1">
      <c r="A9" t="inlineStr">
        <is>
          <t>DELIVERY_APPOINTMENT_LOCAL</t>
        </is>
      </c>
      <c r="B9" t="inlineStr">
        <is>
          <t>TIMESTAMP</t>
        </is>
      </c>
      <c r="C9" t="inlineStr">
        <is>
          <t>DELIVERY_APPOINTMENT</t>
        </is>
      </c>
      <c r="D9" t="inlineStr">
        <is>
          <t>APPOINTMENT_DELIVERY_LOCAL</t>
        </is>
      </c>
      <c r="E9" t="inlineStr">
        <is>
          <t>APPOINTMENT_DELIVERY_LOCAL</t>
        </is>
      </c>
      <c r="F9" s="2" t="inlineStr">
        <is>
          <t>plp2 (SALESORDERLINEFACT_SHIPMENTACTIVITYFLOW_UPDATE)-&gt; plp2(SHIPMENTACTIVITYFACT_SHIPMENTSTOPFLOW2_UPDATE_PLP) -&gt; NBL_OTM_DW.FACT_SHIPMENT_STOP</t>
        </is>
      </c>
      <c r="G9" s="2" t="inlineStr">
        <is>
          <t>convert APPOINTMENT_DELIVERY to local or pst
from_utc_timestamp(WC_SHIPMENT_STOP_FS.APPOINTMENT_DELIVERY,COALESCE(WC_SHIPMENT_STOP_FS.TIME_ZONE_GID, 'PST')) 
Source for APPOINTMENT_DELIVERY is NBL_OTM_SHIPMENTTABLES.SHIPMENT_STOP</t>
        </is>
      </c>
    </row>
    <row r="10" ht="87" customHeight="1">
      <c r="A10" t="inlineStr">
        <is>
          <t>DELIVERY_APPOINTMENT_PST</t>
        </is>
      </c>
      <c r="B10" t="inlineStr">
        <is>
          <t>TIMESTAMP</t>
        </is>
      </c>
      <c r="C10" t="inlineStr">
        <is>
          <t>APPOINTMENT_DELIVERY_PST</t>
        </is>
      </c>
      <c r="D10" t="inlineStr">
        <is>
          <t>APPOINTMENT_DELIVERY_PST</t>
        </is>
      </c>
      <c r="E10" t="inlineStr">
        <is>
          <t>APPOINTMENT_DELIVERY_PST</t>
        </is>
      </c>
      <c r="F10" s="2" t="inlineStr">
        <is>
          <t>plp2 (SALESORDERLINEFACT_SHIPMENTACTIVITYFLOW_UPDATE)-&gt; plp2(SHIPMENTACTIVITYFACT_SHIPMENTSTOPFLOW2_UPDATE_PLP) -&gt; NBL_OTM_DW.FACT_SHIPMENT_STOP</t>
        </is>
      </c>
      <c r="G10" s="2" t="inlineStr">
        <is>
          <t>from_utc_timestamp(WC_SHIPMENT_STOP_FS.APPOINTMENT_DELIVERY, 'PST') AS APPOINTMENT_DELIVERY_PST
Same as above converting to PST.Source column is same</t>
        </is>
      </c>
    </row>
    <row r="11" ht="72.59999999999999" customHeight="1">
      <c r="A11" t="inlineStr">
        <is>
          <t>DELIVERY_WINDOW_END_LOCAL</t>
        </is>
      </c>
      <c r="B11" t="inlineStr">
        <is>
          <t>TIMESTAMP</t>
        </is>
      </c>
      <c r="C11" t="inlineStr">
        <is>
          <t>DELIVERY_WINDOW_END</t>
        </is>
      </c>
      <c r="D11" s="2" t="inlineStr">
        <is>
          <t>CASE WHEN OA.EARLY_DELIVERY_DATE_LOCAL &lt;&gt; OA.LATE_DELIVERY_DATE_LOCAL THEN OA.LATE_DELIVERY_DATE_LOCAL ELSE NULL END DELIVERY_WINDOW_END</t>
        </is>
      </c>
      <c r="E11" t="inlineStr">
        <is>
          <t>LATE_DELIVERY_DATE_LOCAL</t>
        </is>
      </c>
      <c r="F11" s="2" t="inlineStr">
        <is>
          <t>plp2 (SALESORDERLINEFACT_SHIPMENTACTIVITYFLOW_UPDATE)-&gt; FACT_SHIPMENT_ACTIVITY_STG2(Conversion happens om LATE_DELIVERY_DATE to local/pst)</t>
        </is>
      </c>
      <c r="G11" t="inlineStr">
        <is>
          <t>NBL_OTM_ORDERRELEASE.ORDER_RELEASE</t>
        </is>
      </c>
    </row>
    <row r="12" ht="72.59999999999999" customHeight="1">
      <c r="A12" t="inlineStr">
        <is>
          <t>DELIVERY_WINDOW_END_PST</t>
        </is>
      </c>
      <c r="B12" t="inlineStr">
        <is>
          <t>TIMESTAMP</t>
        </is>
      </c>
      <c r="C12" t="inlineStr">
        <is>
          <t>DELIVERY_WINDOW_END_LOCAL</t>
        </is>
      </c>
      <c r="D12" s="2" t="inlineStr">
        <is>
          <t>CASE WHEN OA.EARLY_DELIVERY_DATE_PST &lt;&gt; OA.LATE_DELIVERY_DATE_PST THEN OA.LATE_DELIVERY_DATE_PST ELSE NULL END DELIVERY_WINDOW_END_LOCAL</t>
        </is>
      </c>
      <c r="E12" t="inlineStr">
        <is>
          <t>LATE_DELIVERY_DATE_PST</t>
        </is>
      </c>
      <c r="F12" s="2" t="inlineStr">
        <is>
          <t>plp2 (SALESORDERLINEFACT_SHIPMENTACTIVITYFLOW_UPDATE)-&gt; FACT_SHIPMENT_ACTIVITY_STG2(Conversion happens om LATE_DELIVERY_DATE to PST</t>
        </is>
      </c>
      <c r="G12" t="inlineStr">
        <is>
          <t>NBL_OTM_ORDERRELEASE.ORDER_RELEASE</t>
        </is>
      </c>
    </row>
    <row r="13" ht="87" customHeight="1">
      <c r="A13" t="inlineStr">
        <is>
          <t>DELIVERY_WINDOW_START_LOCAL</t>
        </is>
      </c>
      <c r="B13" t="inlineStr">
        <is>
          <t>TIMESTAMP</t>
        </is>
      </c>
      <c r="C13" t="inlineStr">
        <is>
          <t>DELIVERY_WINDOW_START</t>
        </is>
      </c>
      <c r="D13" s="2" t="inlineStr">
        <is>
          <t>CASE WHEN OA.EARLY_DELIVERY_DATE_LOCAL &lt;&gt; OA.LATE_DELIVERY_DATE_LOCAL THEN OA.EARLY_DELIVERY_DATE_LOCAL ELSE NULL END DELIVERY_WINDOW_START,</t>
        </is>
      </c>
      <c r="E13" t="inlineStr">
        <is>
          <t>EARLY_DELIVERY_DATE_LOCAL</t>
        </is>
      </c>
      <c r="F13" s="2" t="inlineStr">
        <is>
          <t>plp2 (SALESORDERLINEFACT_SHIPMENTACTIVITYFLOW_UPDATE)-&gt; FACT_SHIPMENT_ACTIVITY_STG2(Conversion happens om EARLY_DELIVERY_DATE to LOCAL/PST</t>
        </is>
      </c>
      <c r="G13" t="inlineStr">
        <is>
          <t>NBL_OTM_ORDERRELEASE.ORDER_RELEASE_2</t>
        </is>
      </c>
    </row>
    <row r="14" ht="72.59999999999999" customHeight="1">
      <c r="A14" t="inlineStr">
        <is>
          <t>DELIVERY_WINDOW_START_PST</t>
        </is>
      </c>
      <c r="B14" t="inlineStr">
        <is>
          <t>TIMESTAMP</t>
        </is>
      </c>
      <c r="C14" t="inlineStr">
        <is>
          <t>DELIVERY_WINDOW_START_LOCAL</t>
        </is>
      </c>
      <c r="D14" s="2" t="inlineStr">
        <is>
          <t>CASE WHEN OA.EARLY_DELIVERY_DATE_PST &lt;&gt; OA.LATE_DELIVERY_DATE_PST THEN OA.EARLY_DELIVERY_DATE_PST ELSE NULL END DELIVERY_WINDOW_START_LOCAL</t>
        </is>
      </c>
      <c r="E14" t="inlineStr">
        <is>
          <t>EARLY_DELIVERY_DATE_PST</t>
        </is>
      </c>
      <c r="F14" s="2" t="inlineStr">
        <is>
          <t>plp2 (SALESORDERLINEFACT_SHIPMENTACTIVITYFLOW_UPDATE)-&gt; FACT_SHIPMENT_ACTIVITY_STG2(Conversion happens om EARLY_DELIVERY_DATE to PST</t>
        </is>
      </c>
      <c r="G14" t="inlineStr">
        <is>
          <t>NBL_OTM_ORDERRELEASE.ORDER_RELEASE_2</t>
        </is>
      </c>
    </row>
    <row r="15" ht="101.45" customHeight="1">
      <c r="A15" t="inlineStr">
        <is>
          <t>DESTINATION_DEPARTURE214</t>
        </is>
      </c>
      <c r="B15" t="inlineStr">
        <is>
          <t>TIMESTAMP</t>
        </is>
      </c>
      <c r="C15" t="inlineStr">
        <is>
          <t>LOCAL_ACTUAL_DEPARTURE</t>
        </is>
      </c>
      <c r="D15" t="inlineStr">
        <is>
          <t>DEST_ACTUAL_DEPARTURE_LOCAL</t>
        </is>
      </c>
      <c r="E15" t="inlineStr">
        <is>
          <t>DEST_ACTUAL_DEPARTURE_LOCAL</t>
        </is>
      </c>
      <c r="F15" s="2" t="inlineStr">
        <is>
          <t>plp2 (SALESORDERLINEFACT_SHIPMENTACTIVITYFLOW_UPDATE)-&gt; plp2(SHIPMENTACTIVITYFACT_SHIPMENTSTOPFLOW2_UPDATE_PLP) -&gt; NBL_OTM_DW.FACT_SHIPMENT_STOP.ACTUAL_DEPARTURE_LOCAL</t>
        </is>
      </c>
      <c r="G15" s="2" t="inlineStr">
        <is>
          <t xml:space="preserve">NBL_OTM_SHIPMENTTABLES.SHIPMENT_STOP.ACTUAL_DEPARTURE
This date is converted to local/pst
from_utc_timestamp(WC_SHIPMENT_STOP_FS.ACTUAL_DEPARTURE,COALESCE(WC_SHIPMENT_STOP_FS.TIME_ZONE_GID, 'PST'))
</t>
        </is>
      </c>
    </row>
    <row r="16" ht="144.95" customHeight="1">
      <c r="A16" t="inlineStr">
        <is>
          <t>DOCK_DOOR_ALLOCATION</t>
        </is>
      </c>
      <c r="B16" t="inlineStr">
        <is>
          <t>TIMESTAMP</t>
        </is>
      </c>
      <c r="C16" t="inlineStr">
        <is>
          <t>DOCK_DOOR_ALLOCATION</t>
        </is>
      </c>
      <c r="D16" t="inlineStr">
        <is>
          <t>DOCK_DOOR_ALLOCATION</t>
        </is>
      </c>
      <c r="E16" t="inlineStr">
        <is>
          <t>DOCK_DOOR_ALLOCATION</t>
        </is>
      </c>
      <c r="F16" s="2" t="inlineStr">
        <is>
          <t>plp4(SALESORDERLINESFACT_TRANSPORTATIONACTIVITY_UPDATE_PLP) - plp1(TRANSPORTATIONACTIVITYFACT_CHECKINCHECKOUT_UPDATE_PLP)-NBL_E80_MANH_DW_CICO.FACT_CHECKIN_CHECKOUT.DOCK_DOOR_ALLOCATION_LOCAL</t>
        </is>
      </c>
      <c r="G16" s="2" t="inlineStr">
        <is>
          <t>NBL_E80_MANH_DW_CICO.CHECKIN_CHECKOUT_MANH all G1 to G 10 tables and E80 tables
from_utc_timestamp(
             to_utc_timestamp(
                 CC_FS.DOCK_DOOR_ALLOCATION_LOCAL, 
                 COALESCE(HR_ORG.X_TIME_ZONE_GID, 'America/Los_Angeles')
             ), 
             'America/Los_Angeles'
         )</t>
        </is>
      </c>
    </row>
    <row r="17">
      <c r="A17" t="inlineStr">
        <is>
          <t>EARLY_DELIVERY_DATE</t>
        </is>
      </c>
      <c r="B17" t="inlineStr">
        <is>
          <t>TIMESTAMP</t>
        </is>
      </c>
      <c r="C17" t="inlineStr">
        <is>
          <t>EARLY_DELIVERY_DATE</t>
        </is>
      </c>
      <c r="D17" t="inlineStr">
        <is>
          <t>EARLY_DELIVERY_DATE_LOCAL</t>
        </is>
      </c>
      <c r="E17" t="inlineStr">
        <is>
          <t>EARLY_DELIVERY_DATE_LOCAL</t>
        </is>
      </c>
      <c r="F17">
        <f>E13</f>
        <v/>
      </c>
      <c r="G17">
        <f>G13</f>
        <v/>
      </c>
    </row>
    <row r="18" ht="87" customHeight="1">
      <c r="A18" t="inlineStr">
        <is>
          <t>EARLY_PICKUP_DATE</t>
        </is>
      </c>
      <c r="B18" t="inlineStr">
        <is>
          <t>TIMESTAMP</t>
        </is>
      </c>
      <c r="C18" t="inlineStr">
        <is>
          <t>EARLY_PICKUP_DATE</t>
        </is>
      </c>
      <c r="D18" t="inlineStr">
        <is>
          <t>EARLY_PICKUP_DATE_LOCAL</t>
        </is>
      </c>
      <c r="E18" t="inlineStr">
        <is>
          <t>EARLY_PICKUP_DATE_LOCAL</t>
        </is>
      </c>
      <c r="F18" s="2" t="inlineStr">
        <is>
          <t>plp2 (SALESORDERLINEFACT_SHIPMENTACTIVITYFLOW_UPDATE)-&gt; FACT_SHIPMENT_ACTIVITY_STG2 --&gt; stg1 --&gt; COALESCE(EBS.EARLIEST_PICKUP_DATE, OTM.EARLIEST_PICKUP_DATE)</t>
        </is>
      </c>
      <c r="G18" s="2" t="inlineStr">
        <is>
          <t>EBS - WDD.DELIVERYLINEPEOEARLIESTPICKUPDATE
OTM - ORH.EARLY_PICKUP_DATE(NBL_OTM_ORDERRELEASE.ORDER_RELEASE)</t>
        </is>
      </c>
    </row>
    <row r="19" customFormat="1" s="3">
      <c r="A19" s="3" t="inlineStr">
        <is>
          <t>FINAL_PROMISE_DATE_LOCAL</t>
        </is>
      </c>
      <c r="B19" s="3" t="inlineStr">
        <is>
          <t>TIMESTAMP</t>
        </is>
      </c>
      <c r="C19" s="3" t="inlineStr">
        <is>
          <t>FINAL_CUSTOMER_AGREED_DATE</t>
        </is>
      </c>
    </row>
    <row r="20" ht="174" customFormat="1" customHeight="1" s="3">
      <c r="A20" s="3" t="inlineStr">
        <is>
          <t>FINAL_PROMISE_DATE_PST</t>
        </is>
      </c>
      <c r="B20" s="3" t="inlineStr">
        <is>
          <t>TIMESTAMP</t>
        </is>
      </c>
      <c r="C20" s="4" t="inlineStr">
        <is>
          <t>from_utc_timestamp(
        S.FINAL_CUSTOMER_AGREED_DATE,
        CASE 
            WHEN LOC_TZ_D.TIME_ZONE_GID IS NULL 
                 OR LOC_TZ_D.TIME_ZONE_GID = 'Unspecified'
                THEN 'America/Los_Angeles'
            ELSE LOC_TZ_D.TIME_ZONE_GID
        END
    )</t>
        </is>
      </c>
    </row>
    <row r="21">
      <c r="A21" t="inlineStr">
        <is>
          <t>FINAL_REQUEST_DATE_LOCAL</t>
        </is>
      </c>
      <c r="B21" t="inlineStr">
        <is>
          <t>TIMESTAMP</t>
        </is>
      </c>
      <c r="C21" t="inlineStr">
        <is>
          <t>FINAL_REQUEST_DATE</t>
        </is>
      </c>
      <c r="D21" t="inlineStr">
        <is>
          <t>X_REQUEST_DATE - Calculation exists</t>
        </is>
      </c>
      <c r="E21" t="inlineStr">
        <is>
          <t>X_REQUEST_DATE</t>
        </is>
      </c>
    </row>
    <row r="22">
      <c r="A22" t="inlineStr">
        <is>
          <t>FINAL_REQUEST_DATE_PST</t>
        </is>
      </c>
      <c r="B22" t="inlineStr">
        <is>
          <t>TIMESTAMP</t>
        </is>
      </c>
      <c r="C22" t="inlineStr">
        <is>
          <t>FINAL_REQUEST_DATE_PST</t>
        </is>
      </c>
      <c r="D22" t="inlineStr">
        <is>
          <t>X_FINAL_REQUEST_DATE_PST</t>
        </is>
      </c>
      <c r="E22" t="inlineStr">
        <is>
          <t>X_FINAL_REQUEST_DATE_PST</t>
        </is>
      </c>
    </row>
    <row r="23" ht="87" customHeight="1">
      <c r="A23" t="inlineStr">
        <is>
          <t>FIRST_LOAD_TIME</t>
        </is>
      </c>
      <c r="B23" t="inlineStr">
        <is>
          <t>TIMESTAMP</t>
        </is>
      </c>
      <c r="C23" t="inlineStr">
        <is>
          <t>FIRST_LOAD_TIME</t>
        </is>
      </c>
      <c r="D23" t="inlineStr">
        <is>
          <t>FIRST_LOAD_TIME</t>
        </is>
      </c>
      <c r="E23" t="inlineStr">
        <is>
          <t>FIRST_LOAD_TIME</t>
        </is>
      </c>
      <c r="F23" s="2" t="inlineStr">
        <is>
          <t>plp4(SALESORDERLINESFACT_TRANSPORTATIONACTIVITY_UPDATE_PLP) - plp1(TRANSPORTATIONACTIVITYFACT_CHECKINCHECKOUT_UPDATE_PLP)-NBL_E80_MANH_DW_CICO.FACT_CHECKIN_CHECKOUT.FIRST_LOAD_TIME_LOCAL</t>
        </is>
      </c>
      <c r="G23" s="2" t="inlineStr">
        <is>
          <t>NBL_E80_MANH_DW_CICO.CHECKIN_CHECKOUT_MANH all G1 to G 10 tables and E80 tables.
FIRST_LOAD_TIME_LOCAL</t>
        </is>
      </c>
    </row>
    <row r="24">
      <c r="A24" t="inlineStr">
        <is>
          <t>HISTORICAL_CREATION_DATE_PST</t>
        </is>
      </c>
      <c r="B24" t="inlineStr">
        <is>
          <t>TIMESTAMP</t>
        </is>
      </c>
      <c r="C24" t="inlineStr">
        <is>
          <t>HIST_CREATION_DATE</t>
        </is>
      </c>
      <c r="D24" t="inlineStr">
        <is>
          <t>HIST_CREATION_DATE</t>
        </is>
      </c>
      <c r="E24" t="inlineStr">
        <is>
          <t>CREATED_ON_DT/HIST_CREATION_DATE</t>
        </is>
      </c>
    </row>
    <row r="25" ht="87" customHeight="1">
      <c r="A25" t="inlineStr">
        <is>
          <t>LAST_LOAD_TIME</t>
        </is>
      </c>
      <c r="B25" t="inlineStr">
        <is>
          <t>TIMESTAMP</t>
        </is>
      </c>
      <c r="C25" t="inlineStr">
        <is>
          <t>LAST_LOAD_TIME</t>
        </is>
      </c>
      <c r="D25" t="inlineStr">
        <is>
          <t>LAST_LOAD_TIME</t>
        </is>
      </c>
      <c r="E25" t="inlineStr">
        <is>
          <t>LAST_LOAD_TIME</t>
        </is>
      </c>
      <c r="F25" s="2" t="inlineStr">
        <is>
          <t>plp4(SALESORDERLINESFACT_TRANSPORTATIONACTIVITY_UPDATE_PLP) - plp1(TRANSPORTATIONACTIVITYFACT_CHECKINCHECKOUT_UPDATE_PLP)-NBL_E80_MANH_DW_CICO.FACT_CHECKIN_CHECKOUT.CLOSE_TRAILER_TIME_LOCAL</t>
        </is>
      </c>
      <c r="G25" s="2" t="inlineStr">
        <is>
          <t>NBL_E80_MANH_DW_CICO.CHECKIN_CHECKOUT_MANH all G1 to G 10 tables and E80 tables.
FIRST_LOAD_TIME_LOCAL</t>
        </is>
      </c>
    </row>
    <row r="26" ht="87" customHeight="1">
      <c r="A26" t="inlineStr">
        <is>
          <t>LAST_STOP_ACTUAL_ARRIVAL</t>
        </is>
      </c>
      <c r="B26" t="inlineStr">
        <is>
          <t>TIMESTAMP</t>
        </is>
      </c>
      <c r="C26" t="inlineStr">
        <is>
          <t>LOCAL_ARRIVAL_DATE_214</t>
        </is>
      </c>
      <c r="D26" s="2" t="inlineStr">
        <is>
          <t>LEAST(
    CAST(COALESCE(WC_214_TMP.DATE_214, OA.X1_STATUS_DATE_WEB_LOCAL, OA.X1_STATUS_DATE_214_LOCAL) AS TIMESTAMP),
    CAST(COALESCE(WC_214_TMP.DATE_214, OA.X1_STATUS_DATE_214_LOCAL, OA.X1_STATUS_DATE_WEB_LOCAL) AS TIMESTAMP)
   ) AS LOCAL_ARRIVAL_DATE_214,</t>
        </is>
      </c>
      <c r="E26" s="2" t="inlineStr">
        <is>
          <t>X1_STATUS_DATE_WEB_LOCAL
X1_STATUS_DATE_214_LOCAL</t>
        </is>
      </c>
    </row>
    <row r="27" ht="130.5" customHeight="1">
      <c r="A27" t="inlineStr">
        <is>
          <t>LAST_STOP_ACTUAL_ARRIVAL_LOCAL</t>
        </is>
      </c>
      <c r="B27" t="inlineStr">
        <is>
          <t>TIMESTAMP</t>
        </is>
      </c>
      <c r="C27" s="2" t="inlineStr">
        <is>
          <t>case
    when
      order_number like '4%'
    then
      from_utc_timestamp(S.LOCAL_ARRIVAL_DATE_214, 'America/Los_Angeles')
    else S.LOCAL_ARRIVAL_DATE_214
  end</t>
        </is>
      </c>
      <c r="D27" t="inlineStr">
        <is>
          <t>LOCAL_ARRIVAL_DATE_214 -Above column</t>
        </is>
      </c>
    </row>
    <row r="28">
      <c r="A28" t="inlineStr">
        <is>
          <t>LAST_STOP_ACTUAL_DEPARTURE</t>
        </is>
      </c>
      <c r="B28" t="inlineStr">
        <is>
          <t>TIMESTAMP</t>
        </is>
      </c>
      <c r="C28" t="inlineStr">
        <is>
          <t>LOCAL_ACTUAL_DEPARTURE</t>
        </is>
      </c>
      <c r="D28" t="inlineStr">
        <is>
          <t>DEST_ACTUAL_DEPARTURE_LOCAL</t>
        </is>
      </c>
      <c r="E28" t="inlineStr">
        <is>
          <t>DEST_ACTUAL_DEPARTURE_LOCAL</t>
        </is>
      </c>
      <c r="F28" t="inlineStr">
        <is>
          <t>Repeat</t>
        </is>
      </c>
    </row>
    <row r="29">
      <c r="A29" t="inlineStr">
        <is>
          <t>LATE_DELIVERY_DATE</t>
        </is>
      </c>
      <c r="B29" t="inlineStr">
        <is>
          <t>TIMESTAMP</t>
        </is>
      </c>
      <c r="C29" t="inlineStr">
        <is>
          <t>LATE_DELIVERY_DATE</t>
        </is>
      </c>
      <c r="D29" t="inlineStr">
        <is>
          <t>LATE_DELIVERY_DATE_LOCAL</t>
        </is>
      </c>
      <c r="E29" t="inlineStr">
        <is>
          <t>LATE_DELIVERY_DATE_LOCAL</t>
        </is>
      </c>
      <c r="F29" t="inlineStr">
        <is>
          <t>Repeat</t>
        </is>
      </c>
    </row>
    <row r="30" ht="188.45" customHeight="1">
      <c r="A30" t="inlineStr">
        <is>
          <t>LINE_CREATED_ON_DT</t>
        </is>
      </c>
      <c r="B30" t="inlineStr">
        <is>
          <t>TIMESTAMP</t>
        </is>
      </c>
      <c r="C30" t="inlineStr">
        <is>
          <t>CREATED_ON_DT_SRC_TZ</t>
        </is>
      </c>
      <c r="D30" t="inlineStr">
        <is>
          <t>X_CREATED_ON_DT_SRC_TZ</t>
        </is>
      </c>
      <c r="E30" t="inlineStr">
        <is>
          <t>X_CREATED_ON_DT_SRC_TZ</t>
        </is>
      </c>
      <c r="F30" s="2" t="inlineStr">
        <is>
          <t xml:space="preserve">
CASE 
    WHEN LENGTH(NVL(DIM_HR_ORG_A15.X_TIME_ZONE_GID,'-')) &lt;= 1 
        THEN SOL.CREATED_ON_DT
    ELSE FROM_UTC_TIMESTAMP(
             TO_UTC_TIMESTAMP(SOL.CREATED_ON_DT, 'PST'),
             DIM_HR_ORG_A15.X_TIME_ZONE_GID
         )
END</t>
        </is>
      </c>
      <c r="G30" s="2" t="inlineStr">
        <is>
          <t>DOO_LINES_ALL.LINECREATIONDATE  (as seen in prior column converted to src timezone)</t>
        </is>
      </c>
    </row>
    <row r="31" ht="203.1" customHeight="1">
      <c r="A31" t="inlineStr">
        <is>
          <t>ORDER_CREATION_DATE_DEST</t>
        </is>
      </c>
      <c r="B31" t="inlineStr">
        <is>
          <t>TIMESTAMP</t>
        </is>
      </c>
      <c r="C31" t="inlineStr">
        <is>
          <t>DEST_ORDER_CREATION_DATE</t>
        </is>
      </c>
      <c r="D31" t="inlineStr">
        <is>
          <t>X_CREATED_ON_DT_CUST_TZ</t>
        </is>
      </c>
      <c r="E31" t="inlineStr">
        <is>
          <t>X_CREATED_ON_DT_CUST_TZ</t>
        </is>
      </c>
      <c r="F31" s="2" t="inlineStr">
        <is>
          <t>CASE 
    WHEN length(coalesce(WC_CUST_SITE_USE_D1_SHIP_TO.TIME_ZONE_GID, '-')) &lt;= 1 
        THEN SOL.CREATED_ON_DT
    ELSE 
        from_utc_timestamp(
            to_utc_timestamp(SOL.CREATED_ON_DT, 'America/Los_Angeles'),
            WC_CUST_SITE_USE_D1_SHIP_TO.TIME_ZONE_GID
        )
END AS X_CREATED_ON_DT_CUST_TZ</t>
        </is>
      </c>
      <c r="G31" s="2" t="inlineStr">
        <is>
          <t>DOO_LINES_ALL.LINECREATIONDATE  (as seen in prior column converted to cust shite timezone)</t>
        </is>
      </c>
    </row>
    <row r="32">
      <c r="A32" t="inlineStr">
        <is>
          <t>ORDER_CREATION_DATE_LOCAL</t>
        </is>
      </c>
      <c r="B32" t="inlineStr">
        <is>
          <t>TIMESTAMP</t>
        </is>
      </c>
      <c r="C32" t="inlineStr">
        <is>
          <t>CREATED_ON_DT_SRC_TZ</t>
        </is>
      </c>
      <c r="D32" t="inlineStr">
        <is>
          <t>X_CREATED_ON_DT_SRC_TZ</t>
        </is>
      </c>
      <c r="E32" t="inlineStr">
        <is>
          <t>X_CREATED_ON_DT_SRC_TZ</t>
        </is>
      </c>
      <c r="F32" t="inlineStr">
        <is>
          <t>Repeat</t>
        </is>
      </c>
    </row>
    <row r="33">
      <c r="A33" t="inlineStr">
        <is>
          <t>ORDER_CREATION_DATE_PST</t>
        </is>
      </c>
      <c r="B33" t="inlineStr">
        <is>
          <t>TIMESTAMP</t>
        </is>
      </c>
      <c r="C33" t="inlineStr">
        <is>
          <t>ORDER_CREATION_DATE</t>
        </is>
      </c>
      <c r="D33" t="inlineStr">
        <is>
          <t>CREATED_ON_DT</t>
        </is>
      </c>
      <c r="E33" t="inlineStr">
        <is>
          <t>CREATED_ON_DT</t>
        </is>
      </c>
    </row>
    <row r="34">
      <c r="A34" t="inlineStr">
        <is>
          <t>ORDER_RELEASE_INSERT_DATE</t>
        </is>
      </c>
      <c r="B34" t="inlineStr">
        <is>
          <t>TIMESTAMP</t>
        </is>
      </c>
      <c r="C34" t="inlineStr">
        <is>
          <t>ORDER_RELEASE_INSERT_DATE</t>
        </is>
      </c>
      <c r="D34" t="inlineStr">
        <is>
          <t>OR_INSERT_DATE_LOCAL</t>
        </is>
      </c>
      <c r="E34" t="inlineStr">
        <is>
          <t>OR_INSERT_DATE_LOCAL</t>
        </is>
      </c>
    </row>
    <row r="35">
      <c r="A35" t="inlineStr">
        <is>
          <t>ORDER_RELEASE_INSERT_DATE_PST</t>
        </is>
      </c>
      <c r="B35" t="inlineStr">
        <is>
          <t>TIMESTAMP</t>
        </is>
      </c>
      <c r="C35" t="inlineStr">
        <is>
          <t>OR_INSERT_DATE_PST</t>
        </is>
      </c>
      <c r="D35" t="inlineStr">
        <is>
          <t>OR_INSERT_DATE_PST</t>
        </is>
      </c>
      <c r="E35" t="inlineStr">
        <is>
          <t>OR_INSERT_DATE_PST</t>
        </is>
      </c>
    </row>
    <row r="36">
      <c r="A36" t="inlineStr">
        <is>
          <t>ORDERED_ON_DT</t>
        </is>
      </c>
      <c r="B36" t="inlineStr">
        <is>
          <t>TIMESTAMP</t>
        </is>
      </c>
      <c r="C36" t="inlineStr">
        <is>
          <t>ORDERED_ON_DT</t>
        </is>
      </c>
      <c r="D36" t="inlineStr">
        <is>
          <t>ORDERED_ON_DT</t>
        </is>
      </c>
      <c r="E36" t="inlineStr">
        <is>
          <t>ORDERED_ON_DT</t>
        </is>
      </c>
    </row>
    <row r="37">
      <c r="A37" t="inlineStr">
        <is>
          <t>OREF_SCHEDULE_INSERT_DATE_LOCAL</t>
        </is>
      </c>
      <c r="B37" t="inlineStr">
        <is>
          <t>TIMESTAMP</t>
        </is>
      </c>
      <c r="C37" t="inlineStr">
        <is>
          <t>OREF_SCHEDULE_INSERT_DATE_LOCAL</t>
        </is>
      </c>
      <c r="D37" t="inlineStr">
        <is>
          <t>OREF_SCHEDULE_INSERT_DATE_LOCAL</t>
        </is>
      </c>
      <c r="E37" t="inlineStr">
        <is>
          <t>OREF_SCHEDULE_INSERT_DATE_LOCAL</t>
        </is>
      </c>
    </row>
    <row r="38">
      <c r="A38" t="inlineStr">
        <is>
          <t>OREF_SCHEDULE_INSERT_DATE_PST</t>
        </is>
      </c>
      <c r="B38" t="inlineStr">
        <is>
          <t>TIMESTAMP</t>
        </is>
      </c>
      <c r="C38" t="inlineStr">
        <is>
          <t>OREF_SCHEDULE_INSERT_DATE_PST</t>
        </is>
      </c>
      <c r="D38" t="inlineStr">
        <is>
          <t>OREF_SCHEDULE_INSERT_DATE_PST</t>
        </is>
      </c>
      <c r="E38" t="inlineStr">
        <is>
          <t>OREF_SCHEDULE_INSERT_DATE_PST</t>
        </is>
      </c>
    </row>
    <row r="39">
      <c r="A39" t="inlineStr">
        <is>
          <t>OREF_SCHEDULE_UPDATE_DATE</t>
        </is>
      </c>
      <c r="B39" t="inlineStr">
        <is>
          <t>TIMESTAMP</t>
        </is>
      </c>
      <c r="C39">
        <f>A39</f>
        <v/>
      </c>
      <c r="D39" t="inlineStr">
        <is>
          <t>OREF_SCHEDULE_UPDATE_DATE</t>
        </is>
      </c>
      <c r="E39" t="inlineStr">
        <is>
          <t>OREF_SCHEDULE_UPDATE_DATE</t>
        </is>
      </c>
    </row>
    <row r="40">
      <c r="A40" t="inlineStr">
        <is>
          <t>OREF_SCHEDULE_UPDATE_DATE_LOCAL</t>
        </is>
      </c>
      <c r="B40" t="inlineStr">
        <is>
          <t>TIMESTAMP</t>
        </is>
      </c>
      <c r="C40">
        <f>A40</f>
        <v/>
      </c>
      <c r="D40" t="inlineStr">
        <is>
          <t>OREF_SCHEDULE_UPDATE_DATE_LOCAL</t>
        </is>
      </c>
      <c r="E40" t="inlineStr">
        <is>
          <t>OREF_SCHEDULE_UPDATE_DATE_LOCAL</t>
        </is>
      </c>
    </row>
    <row r="41">
      <c r="A41" t="inlineStr">
        <is>
          <t>OREF_SCHEDULE_UPDATE_DATE_PST</t>
        </is>
      </c>
      <c r="B41" t="inlineStr">
        <is>
          <t>TIMESTAMP</t>
        </is>
      </c>
      <c r="C41">
        <f>A41</f>
        <v/>
      </c>
      <c r="D41" t="inlineStr">
        <is>
          <t>OREF_SCHEDULE_UPDATE_DATE_PST</t>
        </is>
      </c>
      <c r="E41" t="inlineStr">
        <is>
          <t>OREF_SCHEDULE_UPDATE_DATE_PST</t>
        </is>
      </c>
    </row>
    <row r="42">
      <c r="A42" t="inlineStr">
        <is>
          <t>ORIGINAL_REQUEST_DATE_LOCAL</t>
        </is>
      </c>
      <c r="B42" t="inlineStr">
        <is>
          <t>TIMESTAMP</t>
        </is>
      </c>
      <c r="C42" t="inlineStr">
        <is>
          <t>ORIGINAL_REQUEST_DATE</t>
        </is>
      </c>
      <c r="D42" t="inlineStr">
        <is>
          <t>REQUEST_DATE --Logic exists</t>
        </is>
      </c>
      <c r="E42" t="inlineStr">
        <is>
          <t>OA.REQUEST_DATE/Hist.REQUEST_DATE</t>
        </is>
      </c>
    </row>
    <row r="43">
      <c r="A43" t="inlineStr">
        <is>
          <t>ORIGINAL_REQUEST_DATE_PST</t>
        </is>
      </c>
      <c r="B43" t="inlineStr">
        <is>
          <t>TIMESTAMP</t>
        </is>
      </c>
      <c r="C43" t="inlineStr">
        <is>
          <t>ORIGINAL_REQUEST_DATE_PST</t>
        </is>
      </c>
      <c r="D43" t="inlineStr">
        <is>
          <t>ORIGINAL_REQUEST_DATE --above column logic changed recently</t>
        </is>
      </c>
    </row>
    <row r="44" ht="275.45" customHeight="1">
      <c r="A44" t="inlineStr">
        <is>
          <t>PICKUP_APPOINTMENT_DEST</t>
        </is>
      </c>
      <c r="B44" t="inlineStr">
        <is>
          <t>TIMESTAMP</t>
        </is>
      </c>
      <c r="C44" t="inlineStr">
        <is>
          <t>DEST_PICKUP_APPOINTMENT</t>
        </is>
      </c>
      <c r="D44" s="2" t="inlineStr">
        <is>
          <t>CASE 
    WHEN C.COUNTRY_CODE = 'US' THEN 
     CASE 
      WHEN (IO.X_TIME_ZONE_GID = C.TIME_ZONE_GID 
       OR IO.X_TIME_ZONE_GID IN ('-', 'NULL', '','Unspecified') 
       OR C.TIME_ZONE_GID IN ('-', 'NULL', '','Unspecified'))
      THEN OA.APPOINTMENT_PICKUP_LOCAL
      ELSE to_timestamp(
        from_utc_timestamp(
         to_utc_timestamp(
          CAST(OA.APPOINTMENT_PICKUP_LOCAL AS TIMESTAMP),
          COALESCE(NULLIF(NULLIF(IO.X_TIME_ZONE_GID, '-'), 'Unspecified'), 'UTC')
         ),
         COALESCE(NULLIF(NULLIF(C.TIME_ZONE_GID, '-'), 'Unspecified'), 'UTC')
        )
       )
     END
    ELSE OA.APPOINTMENT_PICKUP_LOCAL
   END  AS DEST_PICKUP_APPOINTMENT</t>
        </is>
      </c>
      <c r="E44" t="inlineStr">
        <is>
          <t>APPOINTMENT_PICKUP_LOCAL</t>
        </is>
      </c>
    </row>
    <row r="45">
      <c r="A45" t="inlineStr">
        <is>
          <t>PICKUP_APPOINTMENT_LOCAL</t>
        </is>
      </c>
      <c r="B45" t="inlineStr">
        <is>
          <t>TIMESTAMP</t>
        </is>
      </c>
      <c r="C45" t="inlineStr">
        <is>
          <t>PICKUP_APPOINTMENT</t>
        </is>
      </c>
      <c r="D45" t="inlineStr">
        <is>
          <t>APPOINTMENT_PICKUP_LOCAL</t>
        </is>
      </c>
      <c r="E45" t="inlineStr">
        <is>
          <t>APPOINTMENT_PICKUP_LOCAL</t>
        </is>
      </c>
    </row>
    <row r="46">
      <c r="A46" t="inlineStr">
        <is>
          <t>PICKUP_APPOINTMENT_PST</t>
        </is>
      </c>
      <c r="B46" t="inlineStr">
        <is>
          <t>TIMESTAMP</t>
        </is>
      </c>
      <c r="C46" t="inlineStr">
        <is>
          <t>APPOINTMENT_PICKUP_PST</t>
        </is>
      </c>
      <c r="D46" t="inlineStr">
        <is>
          <t>APPOINTMENT_PICKUP_PST</t>
        </is>
      </c>
      <c r="E46" t="inlineStr">
        <is>
          <t>APPOINTMENT_PICKUP_PST</t>
        </is>
      </c>
    </row>
    <row r="47" ht="72.59999999999999" customHeight="1">
      <c r="A47" t="inlineStr">
        <is>
          <t>PROMISE_DATE_FROM</t>
        </is>
      </c>
      <c r="B47" t="inlineStr">
        <is>
          <t>TIMESTAMP</t>
        </is>
      </c>
      <c r="C47" t="inlineStr">
        <is>
          <t>CUSTOMER_AGREED_DATE_FROM</t>
        </is>
      </c>
      <c r="D47" s="2" t="inlineStr">
        <is>
          <t>CASE 
    WHEN B.HISTORY_TYPE = 'CREATE' THEN B.REQUEST_DATE_TEMP
    WHEN SOURCE_APP_ID = 18 THEN B.CUSTOMER_AGRRED_DATE
    ELSE B.CUSTOMER_AGREED_DATE_TEMP
END AS CUSTOMER_AGREED_DATE_FROM</t>
        </is>
      </c>
    </row>
    <row r="48" ht="87" customHeight="1">
      <c r="A48" t="inlineStr">
        <is>
          <t>PROMISE_DATE_TO</t>
        </is>
      </c>
      <c r="B48" t="inlineStr">
        <is>
          <t>TIMESTAMP</t>
        </is>
      </c>
      <c r="C48" t="inlineStr">
        <is>
          <t>CUSTOMER_AGREED_DATE_TO</t>
        </is>
      </c>
      <c r="D48" s="2" t="inlineStr">
        <is>
          <t>CASE 
    WHEN B.HISTORY_TYPE = 'CREATE' THEN B.REQUEST_DATE_TEMP
    WHEN B.LATEST_CHANGE_FILTER = 'Y' THEN B.FINAL_CUSTOMER_AGREED_DATE
    WHEN SOURCE_APP_ID = 18 THEN B.CUSTOMER_AGREED_DATE_TEMP
    ELSE B.CUSTOMER_AGRRED_DATE
END AS CUSTOMER_AGREED_DATE_TO</t>
        </is>
      </c>
    </row>
    <row r="49" ht="101.45" customHeight="1">
      <c r="A49" t="inlineStr">
        <is>
          <t>REQUEST_DATE_FROM</t>
        </is>
      </c>
      <c r="B49" t="inlineStr">
        <is>
          <t>TIMESTAMP</t>
        </is>
      </c>
      <c r="C49" t="inlineStr">
        <is>
          <t>REQUEST_DATE_FROM</t>
        </is>
      </c>
      <c r="D49" s="2" t="inlineStr">
        <is>
          <t>CASE WHEN SOURCE_APP_ID = 18 THEN 
   CASE
    WHEN B.HISTORY_TYPE = 'CREATE' THEN B.REQUEST_DATE_TEMP
    ELSE B.REQUEST_DATE
   END 
   ELSE REQUEST_DATE_TEMP END        
   AS REQUEST_DATE_FROM,</t>
        </is>
      </c>
    </row>
    <row r="50" ht="72.59999999999999" customHeight="1">
      <c r="A50" t="inlineStr">
        <is>
          <t>REQUEST_DATE_TO</t>
        </is>
      </c>
      <c r="B50" t="inlineStr">
        <is>
          <t>TIMESTAMP</t>
        </is>
      </c>
      <c r="C50" t="inlineStr">
        <is>
          <t>REQUEST_DATE_TO</t>
        </is>
      </c>
      <c r="D50" s="2" t="inlineStr">
        <is>
          <t>CASE 
    WHEN B.LATEST_CHANGE_FILTER = 'Y' THEN B.FINAL_REQUEST_DATE
    WHEN SOURCE_APP_ID = 18 THEN B.REQUEST_DATE_TEMP
    ELSE B.REQUEST_DATE
END AS REQUEST_DATE_TO</t>
        </is>
      </c>
    </row>
    <row r="51">
      <c r="A51" t="inlineStr">
        <is>
          <t>SCHEDULE_INSERT_DATE</t>
        </is>
      </c>
      <c r="B51" t="inlineStr">
        <is>
          <t>TIMESTAMP</t>
        </is>
      </c>
      <c r="C51" t="inlineStr">
        <is>
          <t>SCHEDULE_INSERT_DATE</t>
        </is>
      </c>
      <c r="D51" t="inlineStr">
        <is>
          <t>SCHEDULE_INSERT_DATE</t>
        </is>
      </c>
      <c r="E51" t="inlineStr">
        <is>
          <t>SCHEDULE_INSERT_DATE</t>
        </is>
      </c>
    </row>
    <row r="52">
      <c r="A52" t="inlineStr">
        <is>
          <t>SCHEDULE_INSERT_DATE_LOCAL</t>
        </is>
      </c>
      <c r="B52" t="inlineStr">
        <is>
          <t>TIMESTAMP</t>
        </is>
      </c>
      <c r="C52" t="inlineStr">
        <is>
          <t>SCHEDULE_INSERT_DATE_LOCAL</t>
        </is>
      </c>
      <c r="D52" t="inlineStr">
        <is>
          <t>SCHEDULE_INSERT_DATE_LOCAL</t>
        </is>
      </c>
      <c r="E52" t="inlineStr">
        <is>
          <t>SCHEDULE_INSERT_DATE_LOCAL</t>
        </is>
      </c>
    </row>
    <row r="53">
      <c r="A53" t="inlineStr">
        <is>
          <t>SCHEDULE_INSERT_DATE_PST</t>
        </is>
      </c>
      <c r="B53" t="inlineStr">
        <is>
          <t>TIMESTAMP</t>
        </is>
      </c>
      <c r="C53" t="inlineStr">
        <is>
          <t>SCHEDULE_INSERT_DATE_PST</t>
        </is>
      </c>
      <c r="D53" t="inlineStr">
        <is>
          <t>SCHEDULE_INSERT_DATE_PST</t>
        </is>
      </c>
      <c r="E53" t="inlineStr">
        <is>
          <t>SCHEDULE_INSERT_DATE_PST</t>
        </is>
      </c>
    </row>
    <row r="54">
      <c r="A54" t="inlineStr">
        <is>
          <t>SCHEDULE_UPDATE_DATE</t>
        </is>
      </c>
      <c r="B54" t="inlineStr">
        <is>
          <t>DATE</t>
        </is>
      </c>
      <c r="C54" t="inlineStr">
        <is>
          <t>SCHEDULE_UPDATE_DATE</t>
        </is>
      </c>
      <c r="D54" t="inlineStr">
        <is>
          <t>CAST(OA.SCHEDULE_UPDATE_DATE AS DATE)</t>
        </is>
      </c>
      <c r="E54" t="inlineStr">
        <is>
          <t>SCHEDULE_UPDATE_DATE</t>
        </is>
      </c>
    </row>
    <row r="55">
      <c r="A55" t="inlineStr">
        <is>
          <t>SCHEDULE_UPDATE_DATE_LOCAL</t>
        </is>
      </c>
      <c r="B55" t="inlineStr">
        <is>
          <t>DATE</t>
        </is>
      </c>
      <c r="C55" t="inlineStr">
        <is>
          <t>SCHEDULE_UPDATE_DATE_LOCAL</t>
        </is>
      </c>
      <c r="D55" t="inlineStr">
        <is>
          <t xml:space="preserve">CAST(OA.SCHEDULE_UPDATE_DATE_LOCAL AS DATE) </t>
        </is>
      </c>
      <c r="E55" t="inlineStr">
        <is>
          <t>SCHEDULE_UPDATE_DATE_LOCAL</t>
        </is>
      </c>
    </row>
    <row r="56">
      <c r="A56" t="inlineStr">
        <is>
          <t>SCHEDULE_UPDATE_DATE_PST</t>
        </is>
      </c>
      <c r="B56" t="inlineStr">
        <is>
          <t>DATE</t>
        </is>
      </c>
      <c r="C56" t="inlineStr">
        <is>
          <t>SCHEDULE_UPDATE_DATE_PST</t>
        </is>
      </c>
      <c r="D56" t="inlineStr">
        <is>
          <t>CAST(OA.SCHEDULE_UPDATE_DATE_PST AS DATE)</t>
        </is>
      </c>
      <c r="E56" t="inlineStr">
        <is>
          <t>SCHEDULE_UPDATE_DATE_PST</t>
        </is>
      </c>
    </row>
    <row r="57">
      <c r="A57" t="inlineStr">
        <is>
          <t>SHIP_CONFIRM_DATE_LOCAL</t>
        </is>
      </c>
      <c r="B57" t="inlineStr">
        <is>
          <t>TIMESTAMP</t>
        </is>
      </c>
      <c r="C57" t="inlineStr">
        <is>
          <t>SHIP_CONFIRM_DATE_LOCAL</t>
        </is>
      </c>
      <c r="D57" t="inlineStr">
        <is>
          <t>SHIP_CONFIRM_DATE_LOCAL</t>
        </is>
      </c>
      <c r="E57" t="inlineStr">
        <is>
          <t>SHIP_CONFIRM_DATE_LOCAL</t>
        </is>
      </c>
    </row>
    <row r="58">
      <c r="A58" t="inlineStr">
        <is>
          <t>SHIP_CONFIRM_DATE_PST</t>
        </is>
      </c>
      <c r="B58" t="inlineStr">
        <is>
          <t>TIMESTAMP</t>
        </is>
      </c>
      <c r="C58" t="inlineStr">
        <is>
          <t>SHIP_CONFIRM_DATE</t>
        </is>
      </c>
      <c r="D58" t="inlineStr">
        <is>
          <t>SHIP_CONFIRM_DATE_PST</t>
        </is>
      </c>
      <c r="E58" t="inlineStr">
        <is>
          <t>SHIP_CONFIRM_DATE_PST</t>
        </is>
      </c>
    </row>
    <row r="59">
      <c r="A59" t="inlineStr">
        <is>
          <t>SHIPMENT_START_DATE_PST</t>
        </is>
      </c>
      <c r="B59" t="inlineStr">
        <is>
          <t>TIMESTAMP</t>
        </is>
      </c>
      <c r="C59" t="inlineStr">
        <is>
          <t>STARTDATETIME</t>
        </is>
      </c>
      <c r="D59" t="inlineStr">
        <is>
          <t>STARTDATETIME</t>
        </is>
      </c>
      <c r="E59" t="inlineStr">
        <is>
          <t>STARTDATETIME</t>
        </is>
      </c>
    </row>
    <row r="60">
      <c r="A60" t="inlineStr">
        <is>
          <t>SOA_SHIPMENT_DATE_LOCAL</t>
        </is>
      </c>
      <c r="B60" t="inlineStr">
        <is>
          <t>TIMESTAMP</t>
        </is>
      </c>
      <c r="C60" t="inlineStr">
        <is>
          <t>SOA_SHIPMENT_DATE</t>
        </is>
      </c>
      <c r="D60" t="inlineStr">
        <is>
          <t>SOA_SHIPMENT_DATE</t>
        </is>
      </c>
      <c r="E60" t="inlineStr">
        <is>
          <t>SOA_SHIPMENT_DATE</t>
        </is>
      </c>
    </row>
    <row r="61" ht="87" customHeight="1">
      <c r="A61" t="inlineStr">
        <is>
          <t>SOA_SHIPMENT_DATE_PST</t>
        </is>
      </c>
      <c r="B61" t="inlineStr">
        <is>
          <t>TIMESTAMP</t>
        </is>
      </c>
      <c r="C61" s="2" t="inlineStr">
        <is>
          <t>case
    when order_number like '4%' then from_utc_timestamp(S.SOA_SHIPMENT_DATE, 'America/Los_Angeles')
    else S.SOA_SHIPMENT_DATE
  end AS</t>
        </is>
      </c>
      <c r="D61" t="inlineStr">
        <is>
          <t>SOA_SHIPMENT_DATE</t>
        </is>
      </c>
      <c r="E61" t="inlineStr">
        <is>
          <t>SOA_SHIPMENT_DATE</t>
        </is>
      </c>
    </row>
    <row r="62">
      <c r="A62" t="inlineStr">
        <is>
          <t>SOA_SHIPMENT_TIME</t>
        </is>
      </c>
      <c r="B62" t="inlineStr">
        <is>
          <t>TIMESTAMP</t>
        </is>
      </c>
      <c r="C62" t="inlineStr">
        <is>
          <t>SOA_SHIPMENT_DATE</t>
        </is>
      </c>
      <c r="D62" t="inlineStr">
        <is>
          <t>SOA_SHIPMENT_DATE</t>
        </is>
      </c>
      <c r="E62" t="inlineStr">
        <is>
          <t>SOA_SHIPMENT_DATE</t>
        </is>
      </c>
    </row>
  </sheetData>
  <conditionalFormatting sqref="E1:E1048576 F23:G23 F28:F29 F32 G16 G18 G30">
    <cfRule type="duplicateValues" priority="4" dxfId="0"/>
  </conditionalFormatting>
  <conditionalFormatting sqref="F25">
    <cfRule type="duplicateValues" priority="3" dxfId="0"/>
  </conditionalFormatting>
  <conditionalFormatting sqref="G25">
    <cfRule type="duplicateValues" priority="2" dxfId="0"/>
  </conditionalFormatting>
  <conditionalFormatting sqref="G31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tabSelected="1" workbookViewId="0">
      <pane ySplit="1" topLeftCell="A8" activePane="bottomLeft" state="frozen"/>
      <selection pane="bottomLeft" activeCell="F11" sqref="F11"/>
    </sheetView>
  </sheetViews>
  <sheetFormatPr baseColWidth="8" defaultColWidth="26" defaultRowHeight="15"/>
  <cols>
    <col width="37.5703125" bestFit="1" customWidth="1" min="1" max="1"/>
    <col width="20.85546875" customWidth="1" min="2" max="2"/>
    <col width="33.140625" customWidth="1" min="3" max="3"/>
    <col width="34.28515625" customWidth="1" min="4" max="4"/>
  </cols>
  <sheetData>
    <row r="1">
      <c r="A1" s="1" t="inlineStr">
        <is>
          <t xml:space="preserve">Column Name </t>
        </is>
      </c>
      <c r="B1" s="1" t="inlineStr">
        <is>
          <t>Direct Column</t>
        </is>
      </c>
      <c r="C1" s="1" t="inlineStr">
        <is>
          <t>Logic in FACT_SERVICE_METRICS_V</t>
        </is>
      </c>
      <c r="D1" s="1" t="inlineStr">
        <is>
          <t>Logic in FACT_SERVICE_METRICS</t>
        </is>
      </c>
      <c r="E1" s="1" t="inlineStr">
        <is>
          <t>Columns in Sales order fact</t>
        </is>
      </c>
      <c r="F1" s="1" t="inlineStr">
        <is>
          <t>Logic in SO</t>
        </is>
      </c>
      <c r="G1" s="1" t="inlineStr">
        <is>
          <t>Final Source</t>
        </is>
      </c>
    </row>
    <row r="2" ht="15.75" customHeight="1">
      <c r="A2" s="9" t="inlineStr">
        <is>
          <t>HISTORY_TYPE</t>
        </is>
      </c>
      <c r="B2" t="inlineStr">
        <is>
          <t xml:space="preserve">Yes </t>
        </is>
      </c>
      <c r="C2" s="9" t="inlineStr">
        <is>
          <t>HISTORY_TYPE</t>
        </is>
      </c>
      <c r="D2" t="inlineStr">
        <is>
          <t>CREATE / UPDATE values</t>
        </is>
      </c>
      <c r="E2" t="inlineStr">
        <is>
          <t>(derived in FSM, not sourced from SO)</t>
        </is>
      </c>
      <c r="F2" t="inlineStr">
        <is>
          <t>N/A - hardcoded in FACT_SERVICE_METRICS</t>
        </is>
      </c>
      <c r="G2" t="inlineStr">
        <is>
          <t>CREATE / UPDATE</t>
        </is>
      </c>
    </row>
    <row r="3" ht="118.5" customHeight="1">
      <c r="A3" s="9" t="inlineStr">
        <is>
          <t>WEEK_NUMBER</t>
        </is>
      </c>
      <c r="C3" s="9" t="inlineStr">
        <is>
          <t>WEEK_NUMBER</t>
        </is>
      </c>
      <c r="D3" s="10" t="inlineStr">
        <is>
          <t>DIM_MCAL_PLANNING_WEEK.MCAL_WEEK   -- This dimenssion is joined based on FINAL_CUSTOMER_AGREED_TO_DATE in fact_Service_metrics which is FINAL_PROMISE_DATE_LOCAL in the view</t>
        </is>
      </c>
      <c r="E3" t="inlineStr">
        <is>
          <t>(not from SO - dim lookup)</t>
        </is>
      </c>
      <c r="F3" t="inlineStr">
        <is>
          <t>N/A</t>
        </is>
      </c>
    </row>
    <row r="4" ht="15.75" customHeight="1">
      <c r="A4" s="9" t="inlineStr">
        <is>
          <t>TRIP_ID</t>
        </is>
      </c>
      <c r="B4" t="inlineStr">
        <is>
          <t>Yes</t>
        </is>
      </c>
      <c r="C4" s="9" t="inlineStr">
        <is>
          <t>TRIP_ID</t>
        </is>
      </c>
      <c r="D4" s="9" t="inlineStr">
        <is>
          <t>TRIP_ID</t>
        </is>
      </c>
      <c r="E4" s="9" t="inlineStr">
        <is>
          <t>TRIP_ID</t>
        </is>
      </c>
      <c r="F4" t="inlineStr">
        <is>
          <t>PLP</t>
        </is>
      </c>
    </row>
    <row r="5" ht="30.75" customHeight="1">
      <c r="A5" s="9" t="inlineStr">
        <is>
          <t>NUMBER_OF_STOPS</t>
        </is>
      </c>
      <c r="B5" t="inlineStr">
        <is>
          <t>Yes</t>
        </is>
      </c>
      <c r="C5" s="2" t="inlineStr">
        <is>
          <t>STOP_NUMBER AS NUMBER_OF_STOPS</t>
        </is>
      </c>
      <c r="D5" t="inlineStr">
        <is>
          <t>STOP_NUMBER</t>
        </is>
      </c>
      <c r="E5" t="inlineStr">
        <is>
          <t>STOP_NUMBER</t>
        </is>
      </c>
      <c r="F5" t="inlineStr">
        <is>
          <t>PLP</t>
        </is>
      </c>
    </row>
    <row r="6" ht="45.75" customHeight="1">
      <c r="A6" s="9" t="inlineStr">
        <is>
          <t>CUSTOMER_NAME</t>
        </is>
      </c>
      <c r="C6" t="inlineStr">
        <is>
          <t>CUSTOMER AS CUSTOMER_NAME</t>
        </is>
      </c>
      <c r="D6" s="2" t="inlineStr">
        <is>
          <t>DIM_CUST_SITE_USE.CUSTOMER_NAME -- joined with SK_CUST_SITE_USE_ID</t>
        </is>
      </c>
      <c r="E6" t="inlineStr">
        <is>
          <t>SK_X_SHIP_TO_ORG_ID (FK to DIM_CUST_SITE_USE)</t>
        </is>
      </c>
      <c r="F6" t="inlineStr">
        <is>
          <t>STG: HZ_CUST_SITE_USES_ALL.SITEUSEID -&gt; SHIP_TO_ORG_ID; PLP - COALESCE(plp1.SK_X_SHIP_TO_ORG_ID, SOLF.SK_X_SHIP_TO_ORG_ID)</t>
        </is>
      </c>
    </row>
    <row r="7" ht="30.75" customHeight="1">
      <c r="A7" s="9" t="inlineStr">
        <is>
          <t>CUSTOMER_PO_NUMBER</t>
        </is>
      </c>
      <c r="B7" t="inlineStr">
        <is>
          <t xml:space="preserve">Yes </t>
        </is>
      </c>
      <c r="C7" t="inlineStr">
        <is>
          <t>CUST_PO AS CUSTOMER_PO_NUMBER</t>
        </is>
      </c>
      <c r="D7" t="inlineStr">
        <is>
          <t>PURCH_ORDER_NUM AS CUST_PO</t>
        </is>
      </c>
      <c r="E7" s="11" t="inlineStr">
        <is>
          <t>PURCH_ORDER_NUM</t>
        </is>
      </c>
      <c r="F7" s="2" t="inlineStr">
        <is>
          <t>DOO_HEADERS_ALL.HEADERCUSTOMERPONUMBER</t>
        </is>
      </c>
      <c r="G7" s="12" t="inlineStr">
        <is>
          <t>DOO_HEADERS_ALL.HEADERCUSTOMERPONUMBER</t>
        </is>
      </c>
    </row>
    <row r="8" ht="30.75" customHeight="1">
      <c r="A8" s="9" t="inlineStr">
        <is>
          <t>ORDER_NUMBER</t>
        </is>
      </c>
      <c r="B8" t="inlineStr">
        <is>
          <t xml:space="preserve">Yes </t>
        </is>
      </c>
      <c r="C8" s="9" t="inlineStr">
        <is>
          <t>ORDER_NUMBER</t>
        </is>
      </c>
      <c r="D8" t="inlineStr">
        <is>
          <t>SALES_ORDER_NUM ORDER_NUMBER</t>
        </is>
      </c>
      <c r="E8" s="13" t="inlineStr">
        <is>
          <t>SALES_ORDER_NUM</t>
        </is>
      </c>
      <c r="F8" s="2" t="inlineStr">
        <is>
          <t>DOO_HEADERS_ALL.HEADERORDERNUMBER</t>
        </is>
      </c>
      <c r="G8" s="2" t="inlineStr">
        <is>
          <t>DOO_HEADERS_ALL.HEADERORDERNUMBER</t>
        </is>
      </c>
    </row>
    <row r="9" ht="91.5" customHeight="1">
      <c r="A9" s="9" t="inlineStr">
        <is>
          <t>LINE_NUMBER</t>
        </is>
      </c>
      <c r="C9" s="9" t="inlineStr">
        <is>
          <t>LINE_NUMBER</t>
        </is>
      </c>
      <c r="D9" s="14" t="inlineStr">
        <is>
          <t>CONCAT_WS('.',OA.SALES_ORDER_ITEM,CAST(OA.X_SHIPMENT_NUMBER AS string)) AS LINE_NUMBER</t>
        </is>
      </c>
      <c r="E9" s="2" t="inlineStr">
        <is>
          <t>,OA.SALES_ORDER_ITEM and OA.X_SHIPMENT_NUMBER</t>
        </is>
      </c>
      <c r="F9" s="2" t="inlineStr">
        <is>
          <t>SALES_ORDER_ITEM - DOO_LINES_ALL.LINELINENUMBER
X_SHIPMENT_NUMBER - WDD.DELIVERYLINEPEOSOURCESHIPMENTNUMBER</t>
        </is>
      </c>
      <c r="G9" s="2" t="inlineStr">
        <is>
          <t>DOO_LINES_ALL.LINELINENUMBER and 
WSH_DELIVERY_DETAILS.DELIVERYLINEPEOSOURCESHIPMENTNUMBER</t>
        </is>
      </c>
    </row>
    <row r="10" ht="15.75" customHeight="1">
      <c r="A10" s="9" t="inlineStr">
        <is>
          <t>DELIVERY_NUMBER</t>
        </is>
      </c>
      <c r="B10" t="inlineStr">
        <is>
          <t>Yes</t>
        </is>
      </c>
      <c r="C10" s="9" t="inlineStr">
        <is>
          <t>DELIVERY_NUMBER</t>
        </is>
      </c>
      <c r="D10" t="inlineStr">
        <is>
          <t>DELIVERY_ID AS DELIVERY_NUMBER</t>
        </is>
      </c>
      <c r="E10" s="11" t="inlineStr">
        <is>
          <t>DELIVERY_ID</t>
        </is>
      </c>
      <c r="F10" t="inlineStr">
        <is>
          <t>PLP</t>
        </is>
      </c>
    </row>
    <row r="11" ht="60.75" customHeight="1">
      <c r="A11" s="9" t="inlineStr">
        <is>
          <t>FREIGHT_METHOD</t>
        </is>
      </c>
      <c r="C11" s="9" t="inlineStr">
        <is>
          <t>FREIGHT_METHOD</t>
        </is>
      </c>
      <c r="D11" s="2" t="inlineStr">
        <is>
          <t>MSC_SR_LOOKUP_VALUES_TL.MEANING for lookup_Type - 'WSH_FREIGHT_CHARGE_TERMS' joined with FREIGHT_TERMS_ID</t>
        </is>
      </c>
      <c r="E11" s="15" t="inlineStr">
        <is>
          <t>DOO_HEADERS_ALL.HEADERFREIGHTTERMSCODE</t>
        </is>
      </c>
      <c r="F11" s="2" t="inlineStr">
        <is>
          <t>DOO_HEADERS_ALL.HEADERFREIGHTTERMSCODE</t>
        </is>
      </c>
    </row>
    <row r="12" ht="15.75" customHeight="1">
      <c r="A12" s="9" t="inlineStr">
        <is>
          <t>SHIP_FROM_ORG</t>
        </is>
      </c>
      <c r="C12" t="inlineStr">
        <is>
          <t>S.ORGANIZATION_CODE SHIP_FROM_ORG</t>
        </is>
      </c>
      <c r="D12" t="inlineStr">
        <is>
          <t>IO.ORGANIZATION_CODE (from DIM_HR_ORG IO ON OA.SK_INVENTORY_ORG_ID = IO.SK_ORG_ID)</t>
        </is>
      </c>
      <c r="E12" t="inlineStr">
        <is>
          <t>SK_INVENTORY_ORG_ID (FK to DIM_HR_ORG)</t>
        </is>
      </c>
      <c r="F12" t="inlineStr">
        <is>
          <t>STG: TRIM(CAST(SQ_BCI_SALES_ORDLNS.SHIP_FROM_ORG_ID AS STRING)) = FulfillLine.FULFILLLINEFULFILLORGID -&gt; INVENTORY_ORG_ID</t>
        </is>
      </c>
      <c r="G12" t="inlineStr">
        <is>
          <t>NBLBI_FUSION_ONT.DOO_FULFILL_LINES_ALL.FULFILLLINEFULFILLORGID</t>
        </is>
      </c>
    </row>
    <row r="13" ht="15.75" customHeight="1">
      <c r="A13" s="9" t="inlineStr">
        <is>
          <t>ITEM_NUMBER</t>
        </is>
      </c>
      <c r="C13" t="inlineStr">
        <is>
          <t>S.ITEM ITEM_NUMBER</t>
        </is>
      </c>
      <c r="D13" t="inlineStr">
        <is>
          <t>I.PRODUCT_NUM AS ITEM (from DIM_INV_MASTER_ITEMS ON OA.SK_X_INVENTORY_PRODUCT_ID = I.SK_INV_MASTER_ITEMS_ID)</t>
        </is>
      </c>
      <c r="E13" t="inlineStr">
        <is>
          <t>SK_X_INVENTORY_PRODUCT_ID (FK to DIM_INV_MASTER_ITEMS)</t>
        </is>
      </c>
      <c r="F13" t="inlineStr">
        <is>
          <t>STG: INVENTORY_ITEM_ID-SHIP_FROM_ORG_ID concat = DOO_LINES_ALL.LINEINVENTORYITEMID + SHIP_FROM_ORG_ID</t>
        </is>
      </c>
    </row>
    <row r="14" ht="15.75" customHeight="1">
      <c r="A14" s="9" t="inlineStr">
        <is>
          <t>UOM</t>
        </is>
      </c>
      <c r="B14" t="inlineStr">
        <is>
          <t>Yes</t>
        </is>
      </c>
      <c r="C14" t="inlineStr">
        <is>
          <t>S.UOM</t>
        </is>
      </c>
      <c r="D14" t="inlineStr">
        <is>
          <t>OA.SALES_UOM_CODE AS UOM</t>
        </is>
      </c>
      <c r="E14" t="inlineStr">
        <is>
          <t>SALES_UOM_CODE</t>
        </is>
      </c>
      <c r="F14" t="inlineStr">
        <is>
          <t>TRIM(COALESCE(SQ_BCI_SALES_ORDLNS.ORDER_QUANTITY_UOM, '__UNASSIGNED__')) -&gt; FulfillLine.FULFILLLINEORDEREDUOM</t>
        </is>
      </c>
      <c r="G14" t="inlineStr">
        <is>
          <t>NBLBI_FUSION_ONT.DOO_FULFILL_LINES_ALL.FULFILLLINEORDEREDUOM</t>
        </is>
      </c>
    </row>
    <row r="15" ht="15.75" customHeight="1">
      <c r="A15" s="9" t="inlineStr">
        <is>
          <t>QTY_REQUESTED</t>
        </is>
      </c>
      <c r="C15" t="inlineStr">
        <is>
          <t>S.QTY_REQUESTED</t>
        </is>
      </c>
      <c r="D15" t="inlineStr">
        <is>
          <t>CASE WHEN LATEST_CHANGE_FILTER='Y' THEN OA.SALES_QTY ELSE 0 END; cast as DOUBLE</t>
        </is>
      </c>
      <c r="E15" t="inlineStr">
        <is>
          <t>SALES_QTY</t>
        </is>
      </c>
      <c r="F15" t="inlineStr">
        <is>
          <t>STG: SQ_BCI_SALES_ORDLNS.ORDERED_QUANTITY AS SALES_QTY -&gt; FulfillLine.FULFILLLINEORDEREDQTY</t>
        </is>
      </c>
    </row>
    <row r="16" ht="15.75" customHeight="1">
      <c r="A16" s="9" t="inlineStr">
        <is>
          <t>REQUESTED_24PKEQCASES</t>
        </is>
      </c>
      <c r="C16" t="inlineStr">
        <is>
          <t>S.PKEQ24_CASES_REQUESTED REQUESTED_24PKEQCASES</t>
        </is>
      </c>
      <c r="D16" t="inlineStr">
        <is>
          <t>CASE WHEN LATEST_CHANGE_FILTER='Y' THEN (UOMD.CONVERSION_RATE_TO_24PK * OA.SALES_QTY) ELSE 0 END</t>
        </is>
      </c>
      <c r="E16" t="inlineStr">
        <is>
          <t>SALES_QTY * UOMD.CONVERSION_RATE_TO_24PK (via DIM_UNIT_OF_MEASURE_D on SK_X_UOM_ID)</t>
        </is>
      </c>
      <c r="F16" t="inlineStr">
        <is>
          <t>STG: SALES_QTY = ORDERED_QUANTITY (FulfillLine.FULFILLLINEORDEREDQTY); CONVERSION_RATE from dim</t>
        </is>
      </c>
    </row>
    <row r="17" ht="15.75" customHeight="1">
      <c r="A17" s="9" t="inlineStr">
        <is>
          <t>QTY_SHIPPED</t>
        </is>
      </c>
      <c r="B17" t="inlineStr">
        <is>
          <t>Yes</t>
        </is>
      </c>
      <c r="C17" t="inlineStr">
        <is>
          <t>S.QTY_SHIPPED AS QTY_SHIPPED</t>
        </is>
      </c>
      <c r="D17" t="inlineStr">
        <is>
          <t>CASE WHEN LATEST_CHANGE_FILTER='Y' THEN OA.TOTAL_SHIPPED_QTY ELSE 0 END</t>
        </is>
      </c>
      <c r="E17" t="inlineStr">
        <is>
          <t>TOTAL_SHIPPED_QTY</t>
        </is>
      </c>
      <c r="F17" t="inlineStr">
        <is>
          <t>STG: SQ_BCI_SALES_ORDLNS.SHIPPED_QUANTITY -&gt; FulfillLine.FULFILLLINESHIPPEDQTY</t>
        </is>
      </c>
    </row>
    <row r="18" ht="15.75" customHeight="1">
      <c r="A18" s="9" t="inlineStr">
        <is>
          <t>SHIPPED_24PKEQCASES</t>
        </is>
      </c>
      <c r="C18" t="inlineStr">
        <is>
          <t>S.PKEQ24_CASES_SHIPPED SHIPPED_24PKEQCASES</t>
        </is>
      </c>
      <c r="D18" t="inlineStr">
        <is>
          <t>CASE WHEN LATEST_CHANGE_FILTER='Y' THEN (UOMD.CONVERSION_RATE_TO_24PK * OA.TOTAL_SHIPPED_QTY) ELSE 0 END</t>
        </is>
      </c>
      <c r="E18" t="inlineStr">
        <is>
          <t>TOTAL_SHIPPED_QTY * UOMD.CONVERSION_RATE_TO_24PK</t>
        </is>
      </c>
      <c r="F18" t="inlineStr">
        <is>
          <t>STG: TOTAL_SHIPPED_QTY = SHIPPED_QUANTITY; conversion via DIM_UNIT_OF_MEASURE_D</t>
        </is>
      </c>
    </row>
    <row r="19" ht="15.75" customHeight="1">
      <c r="A19" s="9" t="inlineStr">
        <is>
          <t>QTY_SHORT_SHIPPED</t>
        </is>
      </c>
      <c r="C19" t="inlineStr">
        <is>
          <t>S.QTY_SHORT_SHIPPED AS QTY_SHORT_SHIPPED</t>
        </is>
      </c>
      <c r="D19" t="inlineStr">
        <is>
          <t>CASE WHEN LATEST_CHANGE_FILTER='Y' THEN (OA.SALES_QTY - OA.TOTAL_SHIPPED_QTY) ELSE 0 END</t>
        </is>
      </c>
      <c r="E19" t="inlineStr">
        <is>
          <t>SALES_QTY, TOTAL_SHIPPED_QTY</t>
        </is>
      </c>
      <c r="F19" t="inlineStr">
        <is>
          <t>STG: ORDERED_QUANTITY - SHIPPED_QUANTITY (FulfillLine columns)</t>
        </is>
      </c>
    </row>
    <row r="20" ht="15.75" customHeight="1">
      <c r="A20" s="9" t="inlineStr">
        <is>
          <t>PKEQ24_CASES_SHORT_SHIPPED</t>
        </is>
      </c>
      <c r="C20" t="inlineStr">
        <is>
          <t>S.PKEQ24_CASES_SHORT_SHIPPED AS PKEQ24_CASES_SHORT_SHIPPED</t>
        </is>
      </c>
      <c r="D20" t="inlineStr">
        <is>
          <t>CASE WHEN LATEST_CHANGE_FILTER='Y' THEN (UOMD.CONVERSION_RATE_TO_24PK * (OA.SALES_QTY - NVL(OA.TOTAL_SHIPPED_QTY,0))) ELSE 0 END</t>
        </is>
      </c>
      <c r="E20" t="inlineStr">
        <is>
          <t>SALES_QTY, TOTAL_SHIPPED_QTY (with UOM conversion)</t>
        </is>
      </c>
      <c r="F20" t="inlineStr">
        <is>
          <t>STG: ORDERED_QUANTITY - SHIPPED_QUANTITY</t>
        </is>
      </c>
    </row>
    <row r="21" ht="15.75" customHeight="1">
      <c r="A21" s="9" t="inlineStr">
        <is>
          <t>SHORT_SHIP_REASON_CODE</t>
        </is>
      </c>
      <c r="C21" t="inlineStr">
        <is>
          <t>S.SHORT_SHIP_REASON_CODE AS SHORT_SHIP_REASON_CODE</t>
        </is>
      </c>
      <c r="D21" t="inlineStr">
        <is>
          <t>NVL(OA.X_OLA_ATTRIBUTE7, '-') AS SHORT_SHIP_REASON_CODE</t>
        </is>
      </c>
      <c r="E21" t="inlineStr">
        <is>
          <t>X_OLA_ATTRIBUTE7</t>
        </is>
      </c>
      <c r="F21" t="inlineStr">
        <is>
          <t>STG: TRIM(SQ_BCI_SALES_ORDLNS.OLA_ATTRIBUTE7) -&gt; FulfillLine attribute (DOO_FULFILL_LINES extension)</t>
        </is>
      </c>
    </row>
    <row r="22" ht="15.75" customHeight="1">
      <c r="A22" s="9" t="inlineStr">
        <is>
          <t>RESCHEDULE_REASON_CODE</t>
        </is>
      </c>
      <c r="C22" t="inlineStr">
        <is>
          <t>S.DATE_CHANGE_REASON_CODE RESCHEDULE_REASON_CODE</t>
        </is>
      </c>
      <c r="D22" t="inlineStr">
        <is>
          <t>For CREATE: NULL; For UPDATE: OA.REASON_CODE from FACT_ORDER_HISTORY_ACTIVITY (OHA)</t>
        </is>
      </c>
      <c r="E22" t="inlineStr">
        <is>
          <t>(FACT_ORDER_HISTORY_ACTIVITY.REASON_CODE - not in SO line fact)</t>
        </is>
      </c>
      <c r="F22" t="inlineStr">
        <is>
          <t>N/A - sourced from FACT_ORDER_HISTORY_ACTIVITY</t>
        </is>
      </c>
    </row>
    <row r="23" ht="15.75" customHeight="1">
      <c r="A23" s="9" t="inlineStr">
        <is>
          <t>ORIGINAL_SCHEDULE_SHIP_DATE</t>
        </is>
      </c>
      <c r="B23" t="inlineStr">
        <is>
          <t>Yes</t>
        </is>
      </c>
      <c r="C23" t="inlineStr">
        <is>
          <t>S.ORIGINAL_SCHEDULE_SHIP_DATE</t>
        </is>
      </c>
      <c r="D23" t="inlineStr">
        <is>
          <t>OA.X_OLA_ATTRIBUTE12 AS ORIGINAL_SCHEDULE_SHIP_DATE</t>
        </is>
      </c>
      <c r="E23" t="inlineStr">
        <is>
          <t>X_OLA_ATTRIBUTE12</t>
        </is>
      </c>
      <c r="F23" t="inlineStr">
        <is>
          <t>STG: TRIM(SQ_BCI_SALES_ORDLNS.OLA_ATTRIBUTE12) - DOO_FULFILL_LINES_EFF attribute</t>
        </is>
      </c>
    </row>
    <row r="24" ht="15.75" customHeight="1">
      <c r="A24" s="9" t="inlineStr">
        <is>
          <t>LINE_ITEM_STATUS</t>
        </is>
      </c>
      <c r="C24" t="inlineStr">
        <is>
          <t>S.STATUS LINE_ITEM_STATUS</t>
        </is>
      </c>
      <c r="D24" t="inlineStr">
        <is>
          <t>UPPER(OS.STATUS_CODE) -- from DIM_OM_LINE_STATUS on SK_X_ORDER_LINE_STATUS_ID</t>
        </is>
      </c>
      <c r="E24" t="inlineStr">
        <is>
          <t>SK_X_ORDER_LINE_STATUS_ID (FK to DIM_OM_LINE_STATUS)</t>
        </is>
      </c>
      <c r="F24" t="inlineStr">
        <is>
          <t>STG: 'SALES_ORDER_PROCESS-'||FLOW_STATUS_CODE1 -&gt; X_ORDER_LINE_STATUS_ID (FulfillLine.FULFILLLINESTATUSCODE)</t>
        </is>
      </c>
    </row>
    <row r="25" ht="15.75" customHeight="1">
      <c r="A25" s="9" t="inlineStr">
        <is>
          <t>CANCEL_REASON_CODE</t>
        </is>
      </c>
      <c r="C25" t="inlineStr">
        <is>
          <t>S.CANCEL_REASON_CODE</t>
        </is>
      </c>
      <c r="D25" t="inlineStr">
        <is>
          <t>CREATE: NULL; UPDATE: DECODE(OS.STATUS_CODE,'CANCELLED',OA.REASON_CODE,'CANCELED',OA.REASON_CODE,NULL) from FACT_ORDER_HISTORY_ACTIVITY</t>
        </is>
      </c>
      <c r="E25" t="inlineStr">
        <is>
          <t>(FACT_ORDER_HISTORY_ACTIVITY.REASON_CODE)</t>
        </is>
      </c>
      <c r="F25" t="inlineStr">
        <is>
          <t>N/A - sourced from FACT_ORDER_HISTORY_ACTIVITY</t>
        </is>
      </c>
    </row>
    <row r="26" ht="15.75" customHeight="1">
      <c r="A26" s="9" t="inlineStr">
        <is>
          <t>USER_NAME</t>
        </is>
      </c>
      <c r="C26" t="inlineStr">
        <is>
          <t>S.USERNAME USER_NAME</t>
        </is>
      </c>
      <c r="D26" t="inlineStr">
        <is>
          <t>CREATE: NULL; UPDATE: OA.HIST_CREATED_USER (from FACT_ORDER_HISTORY_ACTIVITY)</t>
        </is>
      </c>
      <c r="E26" t="inlineStr">
        <is>
          <t>(FACT_ORDER_HISTORY_ACTIVITY.HIST_CREATED_USER)</t>
        </is>
      </c>
      <c r="F26" t="inlineStr">
        <is>
          <t>N/A - sourced from FACT_ORDER_HISTORY_ACTIVITY</t>
        </is>
      </c>
    </row>
    <row r="27" ht="15.75" customHeight="1">
      <c r="A27" s="9" t="inlineStr">
        <is>
          <t>SHIP_TO_CITY</t>
        </is>
      </c>
      <c r="B27" t="inlineStr">
        <is>
          <t>Yes</t>
        </is>
      </c>
      <c r="C27" t="inlineStr">
        <is>
          <t>S.SHIP_TO_CITY</t>
        </is>
      </c>
      <c r="D27" t="inlineStr">
        <is>
          <t>C.CITY_CODE AS SHIP_TO_CITY (from DIM_CUST_SITE_USE on SK_X_SHIP_TO_ORG_ID)</t>
        </is>
      </c>
      <c r="E27" t="inlineStr">
        <is>
          <t>SK_X_SHIP_TO_ORG_ID (FK to DIM_CUST_SITE_USE)</t>
        </is>
      </c>
      <c r="F27" t="inlineStr">
        <is>
          <t>STG: HZ_CUST_SITE_USES_ALL.SITEUSEID -&gt; SHIP_TO_ORG_ID</t>
        </is>
      </c>
    </row>
    <row r="28" ht="15.75" customHeight="1">
      <c r="A28" s="9" t="inlineStr">
        <is>
          <t>SHIP_TO_STATE</t>
        </is>
      </c>
      <c r="B28" t="inlineStr">
        <is>
          <t>Yes</t>
        </is>
      </c>
      <c r="C28" t="inlineStr">
        <is>
          <t>S.SHIP_TO_STATE</t>
        </is>
      </c>
      <c r="D28" t="inlineStr">
        <is>
          <t>C.STATEPROVINCE_CODE AS SHIP_TO_STATE</t>
        </is>
      </c>
      <c r="E28" t="inlineStr">
        <is>
          <t>SK_X_SHIP_TO_ORG_ID (FK)</t>
        </is>
      </c>
      <c r="F28" t="inlineStr">
        <is>
          <t>STG: HZ_CUST_SITE_USES_ALL.SITEUSEID</t>
        </is>
      </c>
    </row>
    <row r="29" ht="15.75" customHeight="1">
      <c r="A29" s="9" t="inlineStr">
        <is>
          <t>SHIP_TO_ZIPCODE</t>
        </is>
      </c>
      <c r="C29" t="inlineStr">
        <is>
          <t>S.ZIP_CODE SHIP_TO_ZIPCODE</t>
        </is>
      </c>
      <c r="D29" t="inlineStr">
        <is>
          <t>C.POSTAL_CODE AS ZIP_CODE</t>
        </is>
      </c>
      <c r="E29" t="inlineStr">
        <is>
          <t>SK_X_SHIP_TO_ORG_ID (FK)</t>
        </is>
      </c>
      <c r="F29" t="inlineStr">
        <is>
          <t>STG: HZ_CUST_SITE_USES_ALL.SITEUSEID</t>
        </is>
      </c>
    </row>
    <row r="30" ht="15.75" customHeight="1">
      <c r="A30" s="9" t="inlineStr">
        <is>
          <t>PARTY_SITE_NUMBER</t>
        </is>
      </c>
      <c r="B30" t="inlineStr">
        <is>
          <t>Yes</t>
        </is>
      </c>
      <c r="C30" t="inlineStr">
        <is>
          <t>S.PARTY_SITE_NUMBER</t>
        </is>
      </c>
      <c r="D30" t="inlineStr">
        <is>
          <t>C.PARTY_SITE_NUMBER AS PARTY_SITE_NUMBER</t>
        </is>
      </c>
      <c r="E30" t="inlineStr">
        <is>
          <t>SK_X_SHIP_TO_ORG_ID (FK)</t>
        </is>
      </c>
      <c r="F30" t="inlineStr">
        <is>
          <t>STG: HZ_CUST_SITE_USES_ALL.SITEUSEID</t>
        </is>
      </c>
    </row>
    <row r="31" ht="15.75" customHeight="1">
      <c r="A31" s="9" t="inlineStr">
        <is>
          <t>SALES_CHANNEL_CODE</t>
        </is>
      </c>
      <c r="B31" t="inlineStr">
        <is>
          <t>Yes</t>
        </is>
      </c>
      <c r="C31" t="inlineStr">
        <is>
          <t>S.SALES_CHANNEL_CODE</t>
        </is>
      </c>
      <c r="D31" t="inlineStr">
        <is>
          <t>C.DISTRIBUTION_CHANNEL_CODE AS SALES_CHANNEL_CODE</t>
        </is>
      </c>
      <c r="E31" t="inlineStr">
        <is>
          <t>SK_X_SHIP_TO_ORG_ID (FK)</t>
        </is>
      </c>
      <c r="F31" t="inlineStr">
        <is>
          <t>STG: HZ_CUST_SITE_USES_ALL.SITEUSEID</t>
        </is>
      </c>
    </row>
    <row r="32" ht="15.75" customHeight="1">
      <c r="A32" s="9" t="inlineStr">
        <is>
          <t>DTS_FLAG</t>
        </is>
      </c>
      <c r="B32" t="inlineStr">
        <is>
          <t>Yes</t>
        </is>
      </c>
      <c r="C32" t="inlineStr">
        <is>
          <t>S.DTS_FLAG</t>
        </is>
      </c>
      <c r="D32" t="inlineStr">
        <is>
          <t>C.DSD AS DTS_FLAG</t>
        </is>
      </c>
      <c r="E32" t="inlineStr">
        <is>
          <t>SK_X_SHIP_TO_ORG_ID (FK)</t>
        </is>
      </c>
      <c r="F32" t="inlineStr">
        <is>
          <t>STG: HZ_CUST_SITE_USES_ALL.SITEUSEID</t>
        </is>
      </c>
    </row>
    <row r="33" ht="15.75" customHeight="1">
      <c r="A33" s="9" t="inlineStr">
        <is>
          <t>LOCATION_TYPE</t>
        </is>
      </c>
      <c r="C33" t="inlineStr">
        <is>
          <t>S.DTS_DC_CLASSIFICATION LOCATION_TYPE</t>
        </is>
      </c>
      <c r="D33" t="inlineStr">
        <is>
          <t>DECODE(C.DSD,'Y',DECODE(C.DISTRIBUTION_CHANNEL_CODE,'CLUB','DTS Club','DTS Non-Club'),'DC') AS DTS_DC_CLASSIFICATION</t>
        </is>
      </c>
      <c r="E33" t="inlineStr">
        <is>
          <t>SK_X_SHIP_TO_ORG_ID (FK)</t>
        </is>
      </c>
      <c r="F33" t="inlineStr">
        <is>
          <t>STG: HZ_CUST_SITE_USES_ALL.SITEUSEID</t>
        </is>
      </c>
    </row>
    <row r="34" ht="15.75" customHeight="1">
      <c r="A34" s="9" t="inlineStr">
        <is>
          <t>CARRIER_NAME</t>
        </is>
      </c>
      <c r="B34" t="inlineStr">
        <is>
          <t>Yes</t>
        </is>
      </c>
      <c r="C34" t="inlineStr">
        <is>
          <t>S.CARRIER_NAME</t>
        </is>
      </c>
      <c r="D34" t="inlineStr">
        <is>
          <t>OA.CARRIER_NAME AS CARRIER_NAME</t>
        </is>
      </c>
      <c r="E34" t="inlineStr">
        <is>
          <t>CARRIER_NAME</t>
        </is>
      </c>
      <c r="F34" t="inlineStr">
        <is>
          <t>PLP - COALESCE(plp4.CARRIER_NAME, SOLF.CARRIER_NAME); STG sets CARRIER_NAME = NULL</t>
        </is>
      </c>
    </row>
    <row r="35" ht="15.75" customHeight="1">
      <c r="A35" s="9" t="inlineStr">
        <is>
          <t>SHIPMENT_GID</t>
        </is>
      </c>
      <c r="B35" t="inlineStr">
        <is>
          <t>Yes</t>
        </is>
      </c>
      <c r="C35" t="inlineStr">
        <is>
          <t>S.SHIPMENT_GID</t>
        </is>
      </c>
      <c r="D35" t="inlineStr">
        <is>
          <t>OA.SHIPMENT_GID</t>
        </is>
      </c>
      <c r="E35" t="inlineStr">
        <is>
          <t>SHIPMENT_GID</t>
        </is>
      </c>
      <c r="F35" t="inlineStr">
        <is>
          <t>PLP - COALESCE(plp2.SHIPMENT_GID, SOLF.SHIPMENT_GID); STG sets SHIPMENT_GID = NULL</t>
        </is>
      </c>
    </row>
    <row r="36" ht="15.75" customHeight="1">
      <c r="A36" s="9" t="inlineStr">
        <is>
          <t>ORDER_HEADER_STATUS</t>
        </is>
      </c>
      <c r="C36" t="inlineStr">
        <is>
          <t>S.ORDER_HEADER_STATUS</t>
        </is>
      </c>
      <c r="D36" t="inlineStr">
        <is>
          <t>HOS.STATUS_CODE AS ORDER_HEADER_STATUS (from DIM_OM_STATUS on SK_HEADER_STATUS_ID)</t>
        </is>
      </c>
      <c r="E36" t="inlineStr">
        <is>
          <t>SK_HEADER_STATUS_ID (FK to DIM_OM_STATUS)</t>
        </is>
      </c>
      <c r="F36" t="inlineStr">
        <is>
          <t>STG: 'SALES_CYCLE_HEADER_PROCESS-'||HEADER_FLOW_STATUS_CODE -&gt; HEADER_STATUS_ID (DOO_HEADERS_ALL.HEADERSTATUSCODE)</t>
        </is>
      </c>
    </row>
    <row r="37" ht="15.75" customHeight="1">
      <c r="A37" s="9" t="inlineStr">
        <is>
          <t>BOTTLE_SIZE</t>
        </is>
      </c>
      <c r="C37" t="inlineStr">
        <is>
          <t>S.BOTTLE_SIZE BOTTLE_SIZE</t>
        </is>
      </c>
      <c r="D37" t="inlineStr">
        <is>
          <t>I.X_BOTTLE_SIZE AS BOTTLE_SIZE (DIM_INV_MASTER_ITEMS)</t>
        </is>
      </c>
      <c r="E37" t="inlineStr">
        <is>
          <t>SK_X_INVENTORY_PRODUCT_ID (FK to DIM_INV_MASTER_ITEMS)</t>
        </is>
      </c>
      <c r="F37" t="inlineStr">
        <is>
          <t>STG: INVENTORY_ITEM_ID - SHIP_FROM_ORG_ID</t>
        </is>
      </c>
    </row>
    <row r="38" ht="15.75" customHeight="1">
      <c r="A38" s="9" t="inlineStr">
        <is>
          <t>PACK_SIZE</t>
        </is>
      </c>
      <c r="C38" t="inlineStr">
        <is>
          <t>S.PACKAGE_SIZE PACK_SIZE</t>
        </is>
      </c>
      <c r="D38" t="inlineStr">
        <is>
          <t>I.X_PACK_SIZE AS PACKAGE_SIZE</t>
        </is>
      </c>
      <c r="E38" t="inlineStr">
        <is>
          <t>SK_X_INVENTORY_PRODUCT_ID (FK)</t>
        </is>
      </c>
      <c r="F38" t="inlineStr">
        <is>
          <t>STG: INVENTORY_ITEM_ID - SHIP_FROM_ORG_ID</t>
        </is>
      </c>
    </row>
    <row r="39" ht="15.75" customHeight="1">
      <c r="A39" s="9" t="inlineStr">
        <is>
          <t>PRODUCT</t>
        </is>
      </c>
      <c r="C39" t="inlineStr">
        <is>
          <t>S.PRODUCT</t>
        </is>
      </c>
      <c r="D39" t="inlineStr">
        <is>
          <t>I.X_PRODUCT AS PRODUCT</t>
        </is>
      </c>
      <c r="E39" t="inlineStr">
        <is>
          <t>SK_X_INVENTORY_PRODUCT_ID (FK)</t>
        </is>
      </c>
      <c r="F39" t="inlineStr">
        <is>
          <t>STG: INVENTORY_ITEM_ID - SHIP_FROM_ORG_ID</t>
        </is>
      </c>
    </row>
    <row r="40" ht="15.75" customHeight="1">
      <c r="A40" s="9" t="inlineStr">
        <is>
          <t>PRODUCT_FAMILY</t>
        </is>
      </c>
      <c r="C40" t="inlineStr">
        <is>
          <t>S.PRODUCT_FAMILY</t>
        </is>
      </c>
      <c r="D40" t="inlineStr">
        <is>
          <t>I.X_PRODUCT_FAMILY AS PRODUCT_FAMILY</t>
        </is>
      </c>
      <c r="E40" t="inlineStr">
        <is>
          <t>SK_X_INVENTORY_PRODUCT_ID (FK)</t>
        </is>
      </c>
      <c r="F40" t="inlineStr">
        <is>
          <t>STG: INVENTORY_ITEM_ID - SHIP_FROM_ORG_ID</t>
        </is>
      </c>
    </row>
    <row r="41" ht="15.75" customHeight="1">
      <c r="A41" s="9" t="inlineStr">
        <is>
          <t>PRODUCT_CATEGORY</t>
        </is>
      </c>
      <c r="C41" t="inlineStr">
        <is>
          <t>S.PRODUCT_CATEGORY</t>
        </is>
      </c>
      <c r="D41" t="inlineStr">
        <is>
          <t>I.X_PRODUCT_CATEGORY AS PRODUCT_CATEGORY</t>
        </is>
      </c>
      <c r="E41" t="inlineStr">
        <is>
          <t>SK_X_INVENTORY_PRODUCT_ID (FK)</t>
        </is>
      </c>
      <c r="F41" t="inlineStr">
        <is>
          <t>STG: INVENTORY_ITEM_ID - SHIP_FROM_ORG_ID</t>
        </is>
      </c>
    </row>
    <row r="42" ht="15.75" customHeight="1">
      <c r="A42" s="9" t="inlineStr">
        <is>
          <t>PRODUCT_CATEGORY_SC</t>
        </is>
      </c>
      <c r="C42" t="inlineStr">
        <is>
          <t>S.PRODUCT_CATEGORY_SC PRODUCT_CATEGORY_SC</t>
        </is>
      </c>
      <c r="D42" t="inlineStr">
        <is>
          <t>I.X_PRODUCT_CATEGORY_SC AS PRODUCT_CATEGORY_SC</t>
        </is>
      </c>
      <c r="E42" t="inlineStr">
        <is>
          <t>SK_X_INVENTORY_PRODUCT_ID (FK)</t>
        </is>
      </c>
      <c r="F42" t="inlineStr">
        <is>
          <t>STG: INVENTORY_ITEM_ID - SHIP_FROM_ORG_ID</t>
        </is>
      </c>
    </row>
    <row r="43" ht="15.75" customHeight="1">
      <c r="A43" s="9" t="inlineStr">
        <is>
          <t>SALES_CATEGORY</t>
        </is>
      </c>
      <c r="C43" t="inlineStr">
        <is>
          <t>DECODE(I.PRODUCT_TYPE_CODE,'SA',I.X_PRODUCT,I.X_FG_SALES_CATGORY) SALES_CATEGORY</t>
        </is>
      </c>
      <c r="D43" t="inlineStr">
        <is>
          <t>I.X_FG_SALES_CATGORY AS SALES_CATEGORY (FSM stores this; view re-derives with DECODE)</t>
        </is>
      </c>
      <c r="E43" t="inlineStr">
        <is>
          <t>SK_X_INVENTORY_PRODUCT_ID (FK)</t>
        </is>
      </c>
      <c r="F43" t="inlineStr">
        <is>
          <t>STG: INVENTORY_ITEM_ID - SHIP_FROM_ORG_ID</t>
        </is>
      </c>
    </row>
    <row r="44" ht="15.75" customHeight="1">
      <c r="A44" s="9" t="inlineStr">
        <is>
          <t>REASON_COMMENTS</t>
        </is>
      </c>
      <c r="C44" t="inlineStr">
        <is>
          <t>S.REASON_COMMENTS</t>
        </is>
      </c>
      <c r="D44" t="inlineStr">
        <is>
          <t>CREATE: NULL; UPDATE: NVL(OA.HIST_COMMENTS,'-') from FACT_ORDER_HISTORY_ACTIVITY</t>
        </is>
      </c>
      <c r="E44" t="inlineStr">
        <is>
          <t>(FACT_ORDER_HISTORY_ACTIVITY.HIST_COMMENTS)</t>
        </is>
      </c>
      <c r="F44" t="inlineStr">
        <is>
          <t>N/A - sourced from FACT_ORDER_HISTORY_ACTIVITY</t>
        </is>
      </c>
    </row>
    <row r="45" ht="15.75" customHeight="1">
      <c r="A45" s="9" t="inlineStr">
        <is>
          <t>TRANSPORT_MODE_GID</t>
        </is>
      </c>
      <c r="B45" t="inlineStr">
        <is>
          <t>Yes</t>
        </is>
      </c>
      <c r="C45" t="inlineStr">
        <is>
          <t>S.TRANSPORT_MODE_GID</t>
        </is>
      </c>
      <c r="D45" t="inlineStr">
        <is>
          <t>OA.OR_TRANSPORT_MODE_GID AS TRANSPORT_MODE_GID</t>
        </is>
      </c>
      <c r="E45" t="inlineStr">
        <is>
          <t>OR_TRANSPORT_MODE_GID</t>
        </is>
      </c>
      <c r="F45" t="inlineStr">
        <is>
          <t>PLP - COALESCE(plp3.OR_TRANSPORT_MODE_GID, plp2.OR_TRANSPORT_MODE_GID, SOLF.OR_TRANSPORT_MODE_GID); STG = NULL</t>
        </is>
      </c>
    </row>
    <row r="46" ht="15.75" customHeight="1">
      <c r="A46" s="9" t="inlineStr">
        <is>
          <t>DROP_FLAG</t>
        </is>
      </c>
      <c r="C46" t="inlineStr">
        <is>
          <t>S.SHIPMENT_DROP DROP_FLAG</t>
        </is>
      </c>
      <c r="D46" t="inlineStr">
        <is>
          <t>CASE WHEN OA.SH_TRANSPORT_MODE_GID='NBL.DROP' THEN 'DROP' ELSE 'NOT-DROP' END AS SHIPMENT_DROP</t>
        </is>
      </c>
      <c r="E46" t="inlineStr">
        <is>
          <t>SH_TRANSPORT_MODE_GID</t>
        </is>
      </c>
      <c r="F46" t="inlineStr">
        <is>
          <t>PLP - COALESCE(plp4.SH_TRANSPORT_MODE_GID, SOLF.SH_TRANSPORT_MODE_GID); STG = NULL</t>
        </is>
      </c>
    </row>
    <row r="47" ht="15.75" customHeight="1">
      <c r="A47" s="9" t="inlineStr">
        <is>
          <t>LATEST_CHANGE_FILTER</t>
        </is>
      </c>
      <c r="C47" t="inlineStr">
        <is>
          <t>S.LATEST_CHANGE_FILTER</t>
        </is>
      </c>
      <c r="D47" t="inlineStr">
        <is>
          <t>CASE WHEN ROW_NUMBER() OVER (PARTITION BY ORDER_NUMBER, LINE_NUMBER ORDER BY HIST_CREATION_DATE ASC) = COUNT(*) OVER (PARTITION BY ORDER_NUMBER, LINE_NUMBER) THEN 'Y' ELSE 'N' END</t>
        </is>
      </c>
      <c r="E47" t="inlineStr">
        <is>
          <t>(derived in FSM from FACT_ORDER_HISTORY_ACTIVITY)</t>
        </is>
      </c>
      <c r="F47" t="inlineStr">
        <is>
          <t>N/A - derived in FSM</t>
        </is>
      </c>
    </row>
    <row r="48" ht="15.75" customHeight="1">
      <c r="A48" s="9" t="inlineStr">
        <is>
          <t>ITEM_ONDATE</t>
        </is>
      </c>
      <c r="C48" t="inlineStr">
        <is>
          <t>S.ITEM_CUSTOMER_WANT_DATE ITEM_ONDATE</t>
        </is>
      </c>
      <c r="D48" t="inlineStr">
        <is>
          <t>Complex CASE: '3. Late' / '1. CWD' / '2. CWD+1' based on FINAL_CUSTOMER_DELIVERY_DT vs FINAL_CUSTOMER_COMMITTED_DT (timezone-adjusted), with special rules for ESSENTIA customer, CustomerPickup, WAL-MART, HARALAMBOS+TALKING RAIN</t>
        </is>
      </c>
      <c r="E48" t="inlineStr">
        <is>
          <t>(derived in FSM from LOCAL_ARRIVAL_DATE_214, SHIP_CONFIRM_DATE, SOA_SHIPMENT_DATE, PICKUP_APPOINTMENT)</t>
        </is>
      </c>
      <c r="F48" t="inlineStr">
        <is>
          <t>N/A - derived in FSM</t>
        </is>
      </c>
    </row>
    <row r="49" ht="15.75" customHeight="1">
      <c r="A49" s="9" t="inlineStr">
        <is>
          <t>QTY_CORRECT</t>
        </is>
      </c>
      <c r="C49" t="inlineStr">
        <is>
          <t>S.QTY_CORRECT</t>
        </is>
      </c>
      <c r="D49" t="inlineStr">
        <is>
          <t>CASE WHEN QTY_SHIPPED = QTY_REQUESTED THEN 'Y' ELSE 'N' END</t>
        </is>
      </c>
      <c r="E49" t="inlineStr">
        <is>
          <t>(derived from SALES_QTY, TOTAL_SHIPPED_QTY)</t>
        </is>
      </c>
      <c r="F49" t="inlineStr">
        <is>
          <t>N/A - derived in FSM</t>
        </is>
      </c>
    </row>
    <row r="50" ht="15.75" customHeight="1">
      <c r="A50" s="9" t="inlineStr">
        <is>
          <t>LEAD_TIME_DAYS</t>
        </is>
      </c>
      <c r="C50" t="inlineStr">
        <is>
          <t>S.LEAD_TIME_DAYS</t>
        </is>
      </c>
      <c r="D50" t="inlineStr">
        <is>
          <t>CASE: CREATE+latest -&gt; DATEDIFF(FINAL_REQUEST_DATE, DEST_ORDER_CREATION_DATE); else DATEDIFF(ORIGINAL_REQUEST_DATE, DEST_ORDER_CREATION_DATE); 0 if dates null or request&lt;=creation</t>
        </is>
      </c>
      <c r="E50" t="inlineStr">
        <is>
          <t>X_REQUEST_DATE, X_CREATED_ON_DT_CUST_TZ (derived)</t>
        </is>
      </c>
      <c r="F50" t="inlineStr">
        <is>
          <t>N/A - derived in FSM</t>
        </is>
      </c>
    </row>
    <row r="51" ht="15.75" customHeight="1">
      <c r="A51" s="9" t="inlineStr">
        <is>
          <t>RECOVERY_TIME_DAYS</t>
        </is>
      </c>
      <c r="C51" t="inlineStr">
        <is>
          <t>S.RECOVERY_TIME_DAYS</t>
        </is>
      </c>
      <c r="D51" t="inlineStr">
        <is>
          <t>CASE: ESSENTIA-&gt; uses ITEM_CUSTOMER_WANT_DATE='1. CWD' logic; else DATEDIFF(FINAL_CUSTOMER_DELIVERY_DT, FINAL_CUSTOMER_COMMITTED_DT)</t>
        </is>
      </c>
      <c r="E51" t="inlineStr">
        <is>
          <t>(derived from delivery/committed dates)</t>
        </is>
      </c>
      <c r="F51" t="inlineStr">
        <is>
          <t>N/A - derived in FSM</t>
        </is>
      </c>
    </row>
    <row r="52" ht="15.75" customHeight="1">
      <c r="A52" s="9" t="inlineStr">
        <is>
          <t>ORDER_COUNTER</t>
        </is>
      </c>
      <c r="C52" t="inlineStr">
        <is>
          <t>S.ORDER_COUNTER</t>
        </is>
      </c>
      <c r="D52" t="inlineStr">
        <is>
          <t>CASE WHEN LATEST_CHANGE_FILTER='Y' THEN 1/COUNT(ITEM) OVER(PARTITION BY ORDER_NUMBER, LATEST_CHANGE_FILTER, STATUS) ELSE NULL END</t>
        </is>
      </c>
      <c r="E52" t="inlineStr">
        <is>
          <t>(derived in FSM)</t>
        </is>
      </c>
      <c r="F52" t="inlineStr">
        <is>
          <t>N/A - derived in FSM</t>
        </is>
      </c>
    </row>
    <row r="53" ht="15.75" customHeight="1">
      <c r="A53" s="9" t="inlineStr">
        <is>
          <t>ITEM_COUNTER</t>
        </is>
      </c>
      <c r="C53" t="inlineStr">
        <is>
          <t>S.ITEM_COUNTER</t>
        </is>
      </c>
      <c r="D53" t="inlineStr">
        <is>
          <t>CASE WHEN LATEST_CHANGE_FILTER='Y' THEN 1 ELSE NULL END</t>
        </is>
      </c>
      <c r="E53" t="inlineStr">
        <is>
          <t>(derived in FSM)</t>
        </is>
      </c>
      <c r="F53" t="inlineStr">
        <is>
          <t>N/A - derived in FSM</t>
        </is>
      </c>
    </row>
    <row r="54" ht="15.75" customHeight="1">
      <c r="A54" s="9" t="inlineStr">
        <is>
          <t>PUSH_PULL_FLAG</t>
        </is>
      </c>
      <c r="C54" t="inlineStr">
        <is>
          <t>S.PUSH_PULL_FLAG</t>
        </is>
      </c>
      <c r="D54" t="inlineStr">
        <is>
          <t>CASE WHEN HISTORY_TYPE='UPDATE' AND CUSTOMER_AGREED_DATE_TO &gt; CUSTOMER_AGREED_DATE_FROM THEN 'Push'; &lt; then 'Pull'; ELSE NULL</t>
        </is>
      </c>
      <c r="E54" t="inlineStr">
        <is>
          <t>(derived in FSM)</t>
        </is>
      </c>
      <c r="F54" t="inlineStr">
        <is>
          <t>N/A - derived in FSM</t>
        </is>
      </c>
    </row>
    <row r="55" ht="15.75" customHeight="1">
      <c r="A55" s="9" t="inlineStr">
        <is>
          <t>SHIPMENT_COUNTER</t>
        </is>
      </c>
      <c r="C55" t="inlineStr">
        <is>
          <t>S.SHIPMENT_COUNTER</t>
        </is>
      </c>
      <c r="D55" t="inlineStr">
        <is>
          <t>CASE WHEN LATEST_CHANGE_FILTER='Y' THEN 1/COUNT(ITEM) OVER(PARTITION BY SHIPMENT_GID, LATEST_CHANGE_FILTER, STATUS) ELSE NULL END</t>
        </is>
      </c>
      <c r="E55" t="inlineStr">
        <is>
          <t>(derived in FSM)</t>
        </is>
      </c>
      <c r="F55" t="inlineStr">
        <is>
          <t>N/A - derived in FSM</t>
        </is>
      </c>
    </row>
    <row r="56" ht="15.75" customHeight="1">
      <c r="A56" s="9" t="inlineStr">
        <is>
          <t>CHANGE_COUNTER</t>
        </is>
      </c>
      <c r="C56" t="inlineStr">
        <is>
          <t>S.CHANGE_COUNTER</t>
        </is>
      </c>
      <c r="D56" t="inlineStr">
        <is>
          <t>0 for CREATE rows; 1 for UPDATE rows (hardcoded literal in UNION)</t>
        </is>
      </c>
      <c r="E56" t="inlineStr">
        <is>
          <t>(literal in FSM)</t>
        </is>
      </c>
      <c r="F56" t="inlineStr">
        <is>
          <t>N/A - hardcoded in FSM</t>
        </is>
      </c>
    </row>
    <row r="57" ht="15.75" customHeight="1">
      <c r="A57" s="9" t="inlineStr">
        <is>
          <t>SHIP_FROM_ROLLUP_ORG</t>
        </is>
      </c>
      <c r="C57" t="inlineStr">
        <is>
          <t>S.ROLLUP_ORGANIZATION_CODE SHIP_FROM_ROLLUP_ORG</t>
        </is>
      </c>
      <c r="D57" t="inlineStr">
        <is>
          <t>IO.X_ROLLUP_ORGANIZATION_CODE AS ROLLUP_ORGANIZATION_CODE (from DIM_HR_ORG)</t>
        </is>
      </c>
      <c r="E57" t="inlineStr">
        <is>
          <t>SK_INVENTORY_ORG_ID (FK to DIM_HR_ORG)</t>
        </is>
      </c>
      <c r="F57" t="inlineStr">
        <is>
          <t>STG: FulfillLine.FULFILLLINEFULFILLORGID -&gt; INVENTORY_ORG_ID</t>
        </is>
      </c>
    </row>
    <row r="58" ht="15.75" customHeight="1">
      <c r="A58" s="9" t="inlineStr">
        <is>
          <t>SHIP_FROM_SC_REGION</t>
        </is>
      </c>
      <c r="C58" t="inlineStr">
        <is>
          <t>S.SUPPLY_CHAIN_REGION SHIP_FROM_SC_REGION</t>
        </is>
      </c>
      <c r="D58" t="inlineStr">
        <is>
          <t>IO.X_SUPPLY_CHAIN_REGION AS SUPPLY_CHAIN_REGION</t>
        </is>
      </c>
      <c r="E58" t="inlineStr">
        <is>
          <t>SK_INVENTORY_ORG_ID (FK)</t>
        </is>
      </c>
      <c r="F58" t="inlineStr">
        <is>
          <t>STG: FulfillLine.FULFILLLINEFULFILLORGID</t>
        </is>
      </c>
    </row>
    <row r="59" ht="15.75" customHeight="1">
      <c r="A59" s="9" t="inlineStr">
        <is>
          <t>DOMAIN_NAME</t>
        </is>
      </c>
      <c r="C59" t="inlineStr">
        <is>
          <t>S.DOMAIN_NAME DOMAIN_NAME</t>
        </is>
      </c>
      <c r="D59" t="inlineStr">
        <is>
          <t>DECODE(OU.ORG_UNIT_NAME,'Embotelladora Niagara de Mexico BU','NBL/MX','NBL') (from DIM_HR_ORG OU on IO.X_OPERATING_UNIT)</t>
        </is>
      </c>
      <c r="E59" t="inlineStr">
        <is>
          <t>SK_INVENTORY_ORG_ID -&gt; IO.X_OPERATING_UNIT</t>
        </is>
      </c>
      <c r="F59" t="inlineStr">
        <is>
          <t>STG: derived via DIM_HR_ORG dim lookup</t>
        </is>
      </c>
    </row>
    <row r="60" ht="15.75" customHeight="1">
      <c r="A60" s="9" t="inlineStr">
        <is>
          <t>SHIP_TO_COUNTRY</t>
        </is>
      </c>
      <c r="B60" t="inlineStr">
        <is>
          <t>Yes</t>
        </is>
      </c>
      <c r="C60" t="inlineStr">
        <is>
          <t>S.SHIP_TO_COUNTRY</t>
        </is>
      </c>
      <c r="D60" t="inlineStr">
        <is>
          <t>C.COUNTRY_CODE AS SHIP_TO_COUNTRY</t>
        </is>
      </c>
      <c r="E60" t="inlineStr">
        <is>
          <t>SK_X_SHIP_TO_ORG_ID (FK)</t>
        </is>
      </c>
      <c r="F60" t="inlineStr">
        <is>
          <t>STG: HZ_CUST_SITE_USES_ALL.SITEUSEID</t>
        </is>
      </c>
    </row>
    <row r="61" ht="15.75" customHeight="1">
      <c r="A61" s="9" t="inlineStr">
        <is>
          <t>CHANGE_TYPE</t>
        </is>
      </c>
      <c r="C61" t="inlineStr">
        <is>
          <t>S.CHANGE_TYPE</t>
        </is>
      </c>
      <c r="D61" t="inlineStr">
        <is>
          <t>CASE WHEN HISTORY_TYPE='UPDATE': 'Customer Change'/'Niagara Change'/'Other' based on TZ-converted (LA) date diffs of CUSTOMER_AGREED_DATE_TO/FROM and REQUEST_DATE_TO/FROM</t>
        </is>
      </c>
      <c r="E61" t="inlineStr">
        <is>
          <t>(derived in FSM)</t>
        </is>
      </c>
      <c r="F61" t="inlineStr">
        <is>
          <t>N/A - derived in FSM</t>
        </is>
      </c>
    </row>
    <row r="62" ht="15.75" customHeight="1">
      <c r="A62" s="9" t="inlineStr">
        <is>
          <t>ITEM_ONTIME</t>
        </is>
      </c>
      <c r="C62" t="inlineStr">
        <is>
          <t>S.ITEM_ON_TIME ITEM_ONTIME</t>
        </is>
      </c>
      <c r="D62" t="inlineStr">
        <is>
          <t>Complex CASE: '1. On-Time' / '2. Late' / '3. EDI 214 is missing' based on LOAD_TYPE, CARRIER_NAME, LOCAL_ARRIVAL_DATE_214 vs BUFFERED_APPOINTMENT_TIME etc.</t>
        </is>
      </c>
      <c r="E62" t="inlineStr">
        <is>
          <t>(derived from LOCAL_ARRIVAL_DATE_214, DELIVERY_APPOINTMENT, FINAL_CUSTOMER_AGREED_DATE etc.)</t>
        </is>
      </c>
      <c r="F62" t="inlineStr">
        <is>
          <t>N/A - derived in FSM</t>
        </is>
      </c>
    </row>
    <row r="63" ht="15.75" customHeight="1">
      <c r="A63" s="9" t="inlineStr">
        <is>
          <t>CONTRACTUAL_LEAD_TIME_DAYS</t>
        </is>
      </c>
      <c r="C63" t="inlineStr">
        <is>
          <t>S.CONTRACTUAL_LEAD_TIME CONTRACTUAL_LEAD_TIME_DAYS</t>
        </is>
      </c>
      <c r="D63" t="inlineStr">
        <is>
          <t>CAST(NVL(DECODE(C.SITE_USE_ATTRIBUTE18,'-',7,'Unspecified',7,C.SITE_USE_ATTRIBUTE18),60) AS INT)</t>
        </is>
      </c>
      <c r="E63" t="inlineStr">
        <is>
          <t>SK_X_SHIP_TO_ORG_ID (FK to DIM_CUST_SITE_USE)</t>
        </is>
      </c>
      <c r="F63" t="inlineStr">
        <is>
          <t>STG: HZ_CUST_SITE_USES_ALL.SITEUSEID</t>
        </is>
      </c>
    </row>
    <row r="64" ht="15.75" customHeight="1">
      <c r="A64" s="9" t="inlineStr">
        <is>
          <t>CS_TEAM</t>
        </is>
      </c>
      <c r="C64" t="inlineStr">
        <is>
          <t>S.CS_TEAM</t>
        </is>
      </c>
      <c r="D64" t="inlineStr">
        <is>
          <t>C.NEW_ORGANIC_CUSTOMER AS CS_TEAM</t>
        </is>
      </c>
      <c r="E64" t="inlineStr">
        <is>
          <t>SK_X_SHIP_TO_ORG_ID (FK)</t>
        </is>
      </c>
      <c r="F64" t="inlineStr">
        <is>
          <t>STG: HZ_CUST_SITE_USES_ALL.SITEUSEID</t>
        </is>
      </c>
    </row>
    <row r="65" ht="15.75" customHeight="1">
      <c r="A65" s="9" t="inlineStr">
        <is>
          <t>CUSTOMER_REGION</t>
        </is>
      </c>
      <c r="C65" t="inlineStr">
        <is>
          <t>Subquery: (SELECT DISTINCT SITE.CUSTOMER_REGION FROM DIM_CUST_SITE_USE SITE WHERE SITE.SK_CUST_SITE_USE_ID = S.SK_X_SHIP_TO_ORG_ID LIMIT 1)</t>
        </is>
      </c>
      <c r="D65" t="inlineStr">
        <is>
          <t>C.CUSTOMER_REGION AS CUSTOMER_REGION (also stored in FSM but view re-derives via subquery)</t>
        </is>
      </c>
      <c r="E65" t="inlineStr">
        <is>
          <t>SK_X_SHIP_TO_ORG_ID (FK)</t>
        </is>
      </c>
      <c r="F65" t="inlineStr">
        <is>
          <t>STG: HZ_CUST_SITE_USES_ALL.SITEUSEID</t>
        </is>
      </c>
    </row>
    <row r="66" ht="15.75" customHeight="1">
      <c r="A66" s="9" t="inlineStr">
        <is>
          <t>DEST_LOCATION_GID</t>
        </is>
      </c>
      <c r="C66" t="inlineStr">
        <is>
          <t>S.CUSTOMER_LOCATION_GID DEST_LOCATION_GID</t>
        </is>
      </c>
      <c r="D66" t="inlineStr">
        <is>
          <t>C.LOCATION_GID AS CUSTOMER_LOCATION_GID</t>
        </is>
      </c>
      <c r="E66" t="inlineStr">
        <is>
          <t>SK_X_SHIP_TO_ORG_ID (FK to DIM_CUST_SITE_USE)</t>
        </is>
      </c>
      <c r="F66" t="inlineStr">
        <is>
          <t>STG: HZ_CUST_SITE_USES_ALL.SITEUSEID</t>
        </is>
      </c>
    </row>
    <row r="67" ht="15.75" customHeight="1">
      <c r="A67" s="9" t="inlineStr">
        <is>
          <t>PROMISE_YEAR</t>
        </is>
      </c>
      <c r="C67" t="inlineStr">
        <is>
          <t>S.YEAR_NUMBER PROMISE_YEAR</t>
        </is>
      </c>
      <c r="D67" t="inlineStr">
        <is>
          <t>CAST(PROM_WEEK.MCAL_YEAR AS INT) AS YEAR_NUMBER (DIM_MCAL_PLANNING_WEEK PROM_WEEK joined on FINAL_CUSTOMER_AGREED_TO_DATE)</t>
        </is>
      </c>
      <c r="E67" t="inlineStr">
        <is>
          <t>(dim lookup based on FINAL_CUSTOMER_AGREED_DATE)</t>
        </is>
      </c>
      <c r="F67" t="inlineStr">
        <is>
          <t>N/A</t>
        </is>
      </c>
    </row>
    <row r="68" ht="15.75" customHeight="1">
      <c r="A68" s="9" t="inlineStr">
        <is>
          <t>DEPLOYMENT_FLAG</t>
        </is>
      </c>
      <c r="B68" t="inlineStr">
        <is>
          <t>Yes</t>
        </is>
      </c>
      <c r="C68" t="inlineStr">
        <is>
          <t>S.DEPLOYMENT_FLAG</t>
        </is>
      </c>
      <c r="D68" t="inlineStr">
        <is>
          <t>I.X_DEPLOYMENT_FLAG AS DEPLOYMENT_FLAG (from DIM_INV_MASTER_ITEMS)</t>
        </is>
      </c>
      <c r="E68" t="inlineStr">
        <is>
          <t>SK_X_INVENTORY_PRODUCT_ID (FK)</t>
        </is>
      </c>
      <c r="F68" t="inlineStr">
        <is>
          <t>STG: INVENTORY_ITEM_ID-SHIP_FROM_ORG_ID</t>
        </is>
      </c>
    </row>
    <row r="69" ht="15.75" customHeight="1">
      <c r="A69" s="9" t="inlineStr">
        <is>
          <t>REQUESTED_CASES</t>
        </is>
      </c>
      <c r="C69" t="inlineStr">
        <is>
          <t>S.ACTUAL_CASES_REQUESTED REQUESTED_CASES</t>
        </is>
      </c>
      <c r="D69" t="inlineStr">
        <is>
          <t>CASE WHEN LATEST_CHANGE_FILTER='Y' THEN (UOMD.CONVERSION_RATE_TO_CASE * OA.SALES_QTY) ELSE 0 END</t>
        </is>
      </c>
      <c r="E69" t="inlineStr">
        <is>
          <t>SALES_QTY (UOM conversion via DIM_UNIT_OF_MEASURE_D)</t>
        </is>
      </c>
      <c r="F69" t="inlineStr">
        <is>
          <t>STG: SALES_QTY = ORDERED_QUANTITY (FulfillLine.FULFILLLINEORDEREDQTY)</t>
        </is>
      </c>
    </row>
    <row r="70" ht="15.75" customHeight="1">
      <c r="A70" s="9" t="inlineStr">
        <is>
          <t>SHIPPED_CASES</t>
        </is>
      </c>
      <c r="C70" t="inlineStr">
        <is>
          <t>S.ACTUAL_CASES_SHIPPED SHIPPED_CASES</t>
        </is>
      </c>
      <c r="D70" t="inlineStr">
        <is>
          <t>CASE WHEN LATEST_CHANGE_FILTER='Y' THEN (UOMD.CONVERSION_RATE_TO_CASE * OA.TOTAL_SHIPPED_QTY) ELSE 0 END</t>
        </is>
      </c>
      <c r="E70" t="inlineStr">
        <is>
          <t>TOTAL_SHIPPED_QTY (UOM conversion)</t>
        </is>
      </c>
      <c r="F70" t="inlineStr">
        <is>
          <t>STG: TOTAL_SHIPPED_QTY = SHIPPED_QUANTITY</t>
        </is>
      </c>
    </row>
    <row r="71" ht="15.75" customHeight="1">
      <c r="A71" s="9" t="inlineStr">
        <is>
          <t>SHORT_CASES</t>
        </is>
      </c>
      <c r="C71" t="inlineStr">
        <is>
          <t>S.ACTUAL_CASES_SHORT_SHIPPED SHORT_CASES</t>
        </is>
      </c>
      <c r="D71" t="inlineStr">
        <is>
          <t>CASE WHEN LATEST_CHANGE_FILTER='Y' THEN (UOMD.CONVERSION_RATE_TO_CASE * (OA.SALES_QTY - OA.TOTAL_SHIPPED_QTY)) ELSE 0 END</t>
        </is>
      </c>
      <c r="E71" t="inlineStr">
        <is>
          <t>SALES_QTY - TOTAL_SHIPPED_QTY</t>
        </is>
      </c>
      <c r="F71" t="inlineStr">
        <is>
          <t>STG: ORDERED_QUANTITY - SHIPPED_QUANTITY</t>
        </is>
      </c>
    </row>
    <row r="72" ht="15.75" customHeight="1">
      <c r="A72" s="9" t="inlineStr">
        <is>
          <t>SHIP_FROM_SHIPPING_REGION</t>
        </is>
      </c>
      <c r="C72" t="inlineStr">
        <is>
          <t>S.SHIPPING_REGION SHIP_FROM_SHIPPING_REGION</t>
        </is>
      </c>
      <c r="D72" t="inlineStr">
        <is>
          <t>IO.X_SHIPPING_REGION AS SHIPPING_REGION</t>
        </is>
      </c>
      <c r="E72" t="inlineStr">
        <is>
          <t>SK_INVENTORY_ORG_ID (FK to DIM_HR_ORG)</t>
        </is>
      </c>
      <c r="F72" t="inlineStr">
        <is>
          <t>STG: FulfillLine.FULFILLLINEFULFILLORGID</t>
        </is>
      </c>
    </row>
    <row r="73" ht="15.75" customHeight="1">
      <c r="A73" s="9" t="inlineStr">
        <is>
          <t>CS_REPS</t>
        </is>
      </c>
      <c r="C73" t="inlineStr">
        <is>
          <t>S.CS_REPS</t>
        </is>
      </c>
      <c r="D73" t="inlineStr">
        <is>
          <t>C.SITE_USE_ATTRIBUTE3 AS CS_REPS</t>
        </is>
      </c>
      <c r="E73" t="inlineStr">
        <is>
          <t>SK_X_SHIP_TO_ORG_ID (FK)</t>
        </is>
      </c>
      <c r="F73" t="inlineStr">
        <is>
          <t>STG: HZ_CUST_SITE_USES_ALL.SITEUSEID</t>
        </is>
      </c>
    </row>
    <row r="74" ht="15.75" customHeight="1">
      <c r="A74" s="9" t="inlineStr">
        <is>
          <t>OR_SCHEDULE_FLAG</t>
        </is>
      </c>
      <c r="B74" t="inlineStr">
        <is>
          <t>Yes</t>
        </is>
      </c>
      <c r="C74" t="inlineStr">
        <is>
          <t>S.OR_USER_DEFINED1_ICON_GID OR_SCHEDULE_FLAG</t>
        </is>
      </c>
      <c r="D74" t="inlineStr">
        <is>
          <t>OA.OR_USER_DEFINED3_ICON_GID AS OR_USER_DEFINED1_ICON_GID</t>
        </is>
      </c>
      <c r="E74" t="inlineStr">
        <is>
          <t>OR_USER_DEFINED3_ICON_GID</t>
        </is>
      </c>
      <c r="F74" t="inlineStr">
        <is>
          <t>PLP - COALESCE(plp2.OR_USER_DEFINED3_ICON_GID, SOLF.OR_USER_DEFINED3_ICON_GID); STG = NULL</t>
        </is>
      </c>
    </row>
    <row r="75" ht="15.75" customHeight="1">
      <c r="A75" s="9" t="inlineStr">
        <is>
          <t>STATUS_TYPE_GID</t>
        </is>
      </c>
      <c r="C75" t="inlineStr">
        <is>
          <t>S.STATUS_TYPE_GID</t>
        </is>
      </c>
      <c r="D75" t="inlineStr">
        <is>
          <t>CAST(NULL AS STRING) AS STATUS_TYPE_GID (hardcoded NULL in both CREATE and UPDATE)</t>
        </is>
      </c>
      <c r="E75" t="inlineStr">
        <is>
          <t>(not sourced from SO)</t>
        </is>
      </c>
      <c r="F75" t="inlineStr">
        <is>
          <t>N/A - hardcoded NULL</t>
        </is>
      </c>
    </row>
    <row r="76" ht="15.75" customHeight="1">
      <c r="A76" s="9" t="inlineStr">
        <is>
          <t>STATUS_VALUE_GID</t>
        </is>
      </c>
      <c r="B76" t="inlineStr">
        <is>
          <t>Yes</t>
        </is>
      </c>
      <c r="C76" t="inlineStr">
        <is>
          <t>S.STATUS_VALUE_GID</t>
        </is>
      </c>
      <c r="D76" t="inlineStr">
        <is>
          <t>OA.STATUS_VALUE_GID</t>
        </is>
      </c>
      <c r="E76" t="inlineStr">
        <is>
          <t>STATUS_VALUE_GID</t>
        </is>
      </c>
      <c r="F76" t="inlineStr">
        <is>
          <t>PLP - COALESCE(plp8.STATUS_VALUE_GID, SOLF.STATUS_VALUE_GID); STG = NULL</t>
        </is>
      </c>
    </row>
    <row r="77" ht="15.75" customHeight="1">
      <c r="A77" s="9" t="inlineStr">
        <is>
          <t>SALES_REGION</t>
        </is>
      </c>
      <c r="C77" t="inlineStr">
        <is>
          <t>S.NIAGARA_SALES_REGION SALES_REGION</t>
        </is>
      </c>
      <c r="D77" t="inlineStr">
        <is>
          <t>S.NIAGARA_SALES_REGION (from DIM_SALES_STATE S ON OA.SK_X_SALES_STATE_ID = S.SK_SALES_STATE_ID)</t>
        </is>
      </c>
      <c r="E77" t="inlineStr">
        <is>
          <t>SK_X_SALES_STATE_ID (FK to DIM_SALES_STATE)</t>
        </is>
      </c>
      <c r="F77" t="inlineStr">
        <is>
          <t>STG: X_SALES_STATE_ID derivation</t>
        </is>
      </c>
    </row>
    <row r="78" ht="15.75" customHeight="1">
      <c r="A78" s="9" t="inlineStr">
        <is>
          <t>OR_RATE_OFFERING_GID</t>
        </is>
      </c>
      <c r="B78" t="inlineStr">
        <is>
          <t>Yes</t>
        </is>
      </c>
      <c r="C78" t="inlineStr">
        <is>
          <t>S.OR_RATE_OFFERING_GID</t>
        </is>
      </c>
      <c r="D78" t="inlineStr">
        <is>
          <t>OA.OR_RATE_OFFERING_GID</t>
        </is>
      </c>
      <c r="E78" t="inlineStr">
        <is>
          <t>OR_RATE_OFFERING_GID</t>
        </is>
      </c>
      <c r="F78" t="inlineStr">
        <is>
          <t>PLP - COALESCE(plp2.OR_RATE_OFFERING_GID, SOLF.OR_RATE_OFFERING_GID); STG = NULL</t>
        </is>
      </c>
    </row>
    <row r="79" ht="15.75" customHeight="1">
      <c r="A79" s="9" t="inlineStr">
        <is>
          <t>OR_INDICATOR</t>
        </is>
      </c>
      <c r="B79" t="inlineStr">
        <is>
          <t>Yes</t>
        </is>
      </c>
      <c r="C79" t="inlineStr">
        <is>
          <t>S.ORDER_RELEASE_INDICATOR OR_INDICATOR</t>
        </is>
      </c>
      <c r="D79" t="inlineStr">
        <is>
          <t>OA.OR_INDICATOR AS ORDER_RELEASE_INDICATOR</t>
        </is>
      </c>
      <c r="E79" t="inlineStr">
        <is>
          <t>OR_INDICATOR</t>
        </is>
      </c>
      <c r="F79" t="inlineStr">
        <is>
          <t>PLP - COALESCE(plp2.OR_INDICATOR, SOLF.OR_INDICATOR); STG = NULL</t>
        </is>
      </c>
    </row>
    <row r="80" ht="15.75" customHeight="1">
      <c r="A80" s="9" t="inlineStr">
        <is>
          <t>FINAL_REQUEST_YEAR</t>
        </is>
      </c>
      <c r="C80" t="inlineStr">
        <is>
          <t>S.FINAL_REQUEST_YEAR</t>
        </is>
      </c>
      <c r="D80" t="inlineStr">
        <is>
          <t>REQ_WEEK.MCAL_YEAR (from DIM_MCAL_PLANNING_WEEK on SK_X_REQUEST_DT_PLNG_WK_ID = ROW_WID); CAST AS INT</t>
        </is>
      </c>
      <c r="E80" t="inlineStr">
        <is>
          <t>SK_X_REQUEST_DT_PLNG_WK_ID (FK to DIM_MCAL_PLANNING_WEEK)</t>
        </is>
      </c>
      <c r="F80" t="inlineStr">
        <is>
          <t>STG: CASE WHEN X_REQUEST_DATE IS NULL THEN -2 ELSE DIM_MCAL_PLNG_WK_D_REQ.ROW_WID (joined on date_format(X_REQUEST_DATE))</t>
        </is>
      </c>
    </row>
    <row r="81" ht="15.75" customHeight="1">
      <c r="A81" s="9" t="inlineStr">
        <is>
          <t>FINAL_REQUEST_WEEK</t>
        </is>
      </c>
      <c r="C81" t="inlineStr">
        <is>
          <t>S.FINAL_REQUEST_WEEK</t>
        </is>
      </c>
      <c r="D81" t="inlineStr">
        <is>
          <t>REQ_WEEK.MCAL_WEEK (from DIM_MCAL_PLANNING_WEEK on SK_X_REQUEST_DT_PLNG_WK_ID); CAST AS INT</t>
        </is>
      </c>
      <c r="E81" t="inlineStr">
        <is>
          <t>SK_X_REQUEST_DT_PLNG_WK_ID (FK)</t>
        </is>
      </c>
      <c r="F81" t="inlineStr">
        <is>
          <t>STG: joined on X_REQUEST_DATE</t>
        </is>
      </c>
    </row>
    <row r="82" ht="15.75" customHeight="1">
      <c r="A82" s="9" t="inlineStr">
        <is>
          <t>OR_RATE_GEO_GID</t>
        </is>
      </c>
      <c r="C82" t="inlineStr">
        <is>
          <t>S.RATE_GEO_GID OR_RATE_GEO_GID</t>
        </is>
      </c>
      <c r="D82" t="inlineStr">
        <is>
          <t>NVL(OA.OR_RATE_GEO_GID, '-') AS RATE_GEO_GID</t>
        </is>
      </c>
      <c r="E82" t="inlineStr">
        <is>
          <t>OR_RATE_GEO_GID</t>
        </is>
      </c>
      <c r="F82" t="inlineStr">
        <is>
          <t>PLP - COALESCE(plp2.OR_RATE_GEO_GID, SOLF.OR_RATE_GEO_GID); STG = NULL</t>
        </is>
      </c>
    </row>
    <row r="83" ht="15.75" customHeight="1">
      <c r="A83" s="9" t="inlineStr">
        <is>
          <t>SH_X_LANE_GID</t>
        </is>
      </c>
      <c r="B83" t="inlineStr">
        <is>
          <t>Yes</t>
        </is>
      </c>
      <c r="C83" t="inlineStr">
        <is>
          <t>S.SH_X_LANE_GID</t>
        </is>
      </c>
      <c r="D83" t="inlineStr">
        <is>
          <t>OA.X_LANE_GID AS SH_X_LANE_GID</t>
        </is>
      </c>
      <c r="E83" t="inlineStr">
        <is>
          <t>X_LANE_GID</t>
        </is>
      </c>
      <c r="F83" t="inlineStr">
        <is>
          <t>PLP - COALESCE(plp3.X_LANE_GID, SOLF.X_LANE_GID); STG = NULL</t>
        </is>
      </c>
    </row>
    <row r="84" ht="15.75" customHeight="1">
      <c r="A84" s="9" t="inlineStr">
        <is>
          <t>OR_TRANSPORT_MODE_GID</t>
        </is>
      </c>
      <c r="C84" t="inlineStr">
        <is>
          <t>S.OR_TRANSPORTATION_MODE_GID OR_TRANSPORT_MODE_GID</t>
        </is>
      </c>
      <c r="D84" t="inlineStr">
        <is>
          <t>OA.OR_TRANSPORT_MODE_GID AS OR_TRANSPORTATION_MODE_GID</t>
        </is>
      </c>
      <c r="E84" t="inlineStr">
        <is>
          <t>OR_TRANSPORT_MODE_GID</t>
        </is>
      </c>
      <c r="F84" t="inlineStr">
        <is>
          <t>PLP - COALESCE(plp3/plp2.OR_TRANSPORT_MODE_GID, SOLF.OR_TRANSPORT_MODE_GID); STG = NULL</t>
        </is>
      </c>
    </row>
    <row r="85" ht="15.75" customHeight="1">
      <c r="A85" s="9" t="inlineStr">
        <is>
          <t>OR_DEPLOYMENT_FLAG</t>
        </is>
      </c>
      <c r="B85" t="inlineStr">
        <is>
          <t>Yes</t>
        </is>
      </c>
      <c r="C85" t="inlineStr">
        <is>
          <t>S.SH_DEPLOYMENT_FLAG OR_DEPLOYMENT_FLAG</t>
        </is>
      </c>
      <c r="D85" t="inlineStr">
        <is>
          <t>OA.DEPLOYMENT_FLAG AS SH_DEPLOYMENT_FLAG</t>
        </is>
      </c>
      <c r="E85" t="inlineStr">
        <is>
          <t>DEPLOYMENT_FLAG</t>
        </is>
      </c>
      <c r="F85" t="inlineStr">
        <is>
          <t>PLP - COALESCE(plp2.DEPLOYMENT_FLAG, SOLF.DEPLOYMENT_FLAG); STG = NULL</t>
        </is>
      </c>
    </row>
    <row r="86" ht="15.75" customHeight="1">
      <c r="A86" s="9" t="inlineStr">
        <is>
          <t>DISTANCE</t>
        </is>
      </c>
      <c r="C86" t="inlineStr">
        <is>
          <t>S.FINAL_MILES DISTANCE</t>
        </is>
      </c>
      <c r="D86" t="inlineStr">
        <is>
          <t>NVL(DPCM.FINAL_MILES, 0) AS FINAL_MILES (DIM_PLANT_TO_CUSTOMER_MILES joined on PLANT=ORGANIZATION_CODE and POSTAL_CODE=DEST_ZIPCODE)</t>
        </is>
      </c>
      <c r="E86" t="inlineStr">
        <is>
          <t>FINAL_MILES (also exists in SO via PLP)</t>
        </is>
      </c>
      <c r="F86" t="inlineStr">
        <is>
          <t>PLP - COALESCE(plp4.FINAL_MILES, SOLF.FINAL_MILES); STG = NULL/derived via dim</t>
        </is>
      </c>
    </row>
    <row r="87" ht="15.75" customHeight="1">
      <c r="A87" s="9" t="inlineStr">
        <is>
          <t>OR_PENDING_REASON</t>
        </is>
      </c>
      <c r="C87" t="inlineStr">
        <is>
          <t>S.OR_PENDING_REASON</t>
        </is>
      </c>
      <c r="D87" t="inlineStr">
        <is>
          <t>NVL(OA.OR_PENDING_REASON, '-') AS OR_PENDING_REASON</t>
        </is>
      </c>
      <c r="E87" t="inlineStr">
        <is>
          <t>OR_PENDING_REASON</t>
        </is>
      </c>
      <c r="F87" t="inlineStr">
        <is>
          <t>PLP - COALESCE(plp2.OR_PENDING_REASON, SOLF.OR_PENDING_REASON); STG = NULL</t>
        </is>
      </c>
    </row>
    <row r="88" ht="15.75" customHeight="1">
      <c r="A88" s="9" t="inlineStr">
        <is>
          <t>SH_RATE_OFFERING_GID</t>
        </is>
      </c>
      <c r="B88" t="inlineStr">
        <is>
          <t>Yes</t>
        </is>
      </c>
      <c r="C88" t="inlineStr">
        <is>
          <t>S.SH_RATE_OFFERING_GID</t>
        </is>
      </c>
      <c r="D88" t="inlineStr">
        <is>
          <t>OA.SH_RATE_OFFERING_GID</t>
        </is>
      </c>
      <c r="E88" t="inlineStr">
        <is>
          <t>SH_RATE_OFFERING_GID</t>
        </is>
      </c>
      <c r="F88" t="inlineStr">
        <is>
          <t>PLP - COALESCE(plp4.SH_RATE_OFFERING_GID, SOLF.SH_RATE_OFFERING_GID); STG = NULL</t>
        </is>
      </c>
    </row>
    <row r="89" ht="15.75" customHeight="1">
      <c r="A89" s="9" t="inlineStr">
        <is>
          <t>SH_RATE_GEO_GID</t>
        </is>
      </c>
      <c r="B89" t="inlineStr">
        <is>
          <t>Yes</t>
        </is>
      </c>
      <c r="C89" t="inlineStr">
        <is>
          <t>S.SH_RATE_GEO_GID</t>
        </is>
      </c>
      <c r="D89" t="inlineStr">
        <is>
          <t>OA.SH_RATE_GEO_GID</t>
        </is>
      </c>
      <c r="E89" t="inlineStr">
        <is>
          <t>SH_RATE_GEO_GID</t>
        </is>
      </c>
      <c r="F89" t="inlineStr">
        <is>
          <t>PLP - COALESCE(plp4.SH_RATE_GEO_GID, SOLF.SH_RATE_GEO_GID); STG = NULL</t>
        </is>
      </c>
    </row>
    <row r="90" ht="15.75" customHeight="1">
      <c r="A90" s="9" t="inlineStr">
        <is>
          <t>X_LANE_GID</t>
        </is>
      </c>
      <c r="C90" t="inlineStr">
        <is>
          <t>S.X_LANE_GID</t>
        </is>
      </c>
      <c r="D90" t="inlineStr">
        <is>
          <t>NVL(OA.X_LANE_GID, '-') AS X_LANE_GID</t>
        </is>
      </c>
      <c r="E90" t="inlineStr">
        <is>
          <t>X_LANE_GID</t>
        </is>
      </c>
      <c r="F90" t="inlineStr">
        <is>
          <t>PLP - COALESCE(plp3.X_LANE_GID, SOLF.X_LANE_GID); STG = NULL</t>
        </is>
      </c>
    </row>
    <row r="91" ht="15.75" customHeight="1">
      <c r="A91" s="9" t="inlineStr">
        <is>
          <t>SH_TRANSPORT_MODE_GID</t>
        </is>
      </c>
      <c r="B91" t="inlineStr">
        <is>
          <t>Yes</t>
        </is>
      </c>
      <c r="C91" t="inlineStr">
        <is>
          <t>S.SH_TRANSPORTATION_MODE_GID SH_TRANSPORT_MODE_GID</t>
        </is>
      </c>
      <c r="D91" t="inlineStr">
        <is>
          <t>OA.SH_TRANSPORT_MODE_GID AS SH_TRANSPORT_MODE_GID (or via SH_TRANSPORTATION_MODE_GID column)</t>
        </is>
      </c>
      <c r="E91" t="inlineStr">
        <is>
          <t>SH_TRANSPORT_MODE_GID / SH_TRANSPORTATION_MODE_GID</t>
        </is>
      </c>
      <c r="F91" t="inlineStr">
        <is>
          <t>PLP - COALESCE(plp4.SH_TRANSPORT_MODE_GID, SOLF.SH_TRANSPORT_MODE_GID); STG = NULL</t>
        </is>
      </c>
    </row>
    <row r="92" ht="15.75" customHeight="1">
      <c r="A92" s="9" t="inlineStr">
        <is>
          <t>CANCELLED_QUANTITY</t>
        </is>
      </c>
      <c r="C92" t="inlineStr">
        <is>
          <t>S.CANCELLED_QUANTITY</t>
        </is>
      </c>
      <c r="D92" t="inlineStr">
        <is>
          <t>CASE WHEN LATEST_CHANGE_FILTER='Y' THEN OA.CANCELLED_QTY ELSE 0 END</t>
        </is>
      </c>
      <c r="E92" t="inlineStr">
        <is>
          <t>CANCELLED_QTY</t>
        </is>
      </c>
      <c r="F92" t="inlineStr">
        <is>
          <t>STG: SQ_BCI_SALES_ORDLNS.CANCELLED_QUANTITY -&gt; FulfillLine.FULFILLLINECANCELEDQTY</t>
        </is>
      </c>
    </row>
    <row r="93" ht="15.75" customHeight="1">
      <c r="A93" s="9" t="inlineStr">
        <is>
          <t>PKEQ24_CANCELLED_CASES</t>
        </is>
      </c>
      <c r="C93" t="inlineStr">
        <is>
          <t>S.CANCELLED_QUANTITY * CAST(CASE WHEN I.X_ATTRIBUTE5='-' THEN 0 ELSE I.X_ATTRIBUTE5 END AS DOUBLE)</t>
        </is>
      </c>
      <c r="D93" t="inlineStr">
        <is>
          <t>Derived in view from CANCELLED_QUANTITY * DIM_INV_MASTER_ITEMS.X_ATTRIBUTE5 (24pk eq factor)</t>
        </is>
      </c>
      <c r="E93" t="inlineStr">
        <is>
          <t>CANCELLED_QTY + SK_X_INVENTORY_PRODUCT_ID (FK)</t>
        </is>
      </c>
      <c r="F93" t="inlineStr">
        <is>
          <t>STG: FULFILLLINECANCELEDQTY</t>
        </is>
      </c>
    </row>
    <row r="94" ht="15.75" customHeight="1">
      <c r="A94" s="9" t="inlineStr">
        <is>
          <t>SCHEDULE_UPDATE_USER</t>
        </is>
      </c>
      <c r="B94" t="inlineStr">
        <is>
          <t>Yes</t>
        </is>
      </c>
      <c r="C94" t="inlineStr">
        <is>
          <t>S.SCHEDULE_UPDATE_USER</t>
        </is>
      </c>
      <c r="D94" t="inlineStr">
        <is>
          <t>OA.SCHEDULE_UPDATE_USER</t>
        </is>
      </c>
      <c r="E94" t="inlineStr">
        <is>
          <t>SCHEDULE_UPDATE_USER</t>
        </is>
      </c>
      <c r="F94" t="inlineStr">
        <is>
          <t>PLP - COALESCE(plp2.SCHEDULE_UPDATE_USER, SOLF.SCHEDULE_UPDATE_USER); STG = NULL</t>
        </is>
      </c>
    </row>
    <row r="95" ht="15.75" customHeight="1">
      <c r="A95" s="9" t="inlineStr">
        <is>
          <t>ORIGINAL_REQUEST_YEAR</t>
        </is>
      </c>
      <c r="C95" t="inlineStr">
        <is>
          <t>S.ORIGINAL_REQUEST_YEAR</t>
        </is>
      </c>
      <c r="D95" t="inlineStr">
        <is>
          <t>SUBSTR(ORIGINAL_REQUEST_YEAR_WEEK,1,4); ORIGINAL_REQUEST_YEAR_WEEK = CONCAT(PLW.MCAL_YEAR,'-',PLW.MCAL_WEEK) -- DIM_MCAL_PLANNING_WEEK PLW joined on ORIGINAL_REQUEST_DATE BETWEEN MCAL_WEEK_START_DT/END_DT</t>
        </is>
      </c>
      <c r="E95" t="inlineStr">
        <is>
          <t>(derived from ORIGINAL_REQUEST_DATE via NTH_VALUE window function)</t>
        </is>
      </c>
      <c r="F95" t="inlineStr">
        <is>
          <t>N/A - derived in FSM</t>
        </is>
      </c>
    </row>
    <row r="96" ht="15.75" customHeight="1">
      <c r="A96" s="9" t="inlineStr">
        <is>
          <t>ORIGINAL_REQUEST_WEEK</t>
        </is>
      </c>
      <c r="C96" t="inlineStr">
        <is>
          <t>S.ORIGINAL_REQUEST_WEEK</t>
        </is>
      </c>
      <c r="D96" t="inlineStr">
        <is>
          <t>SUBSTR(ORIGINAL_REQUEST_YEAR_WEEK, INSTR('-')+1) from CONCAT(PLW.MCAL_YEAR,'-',PLW.MCAL_WEEK)</t>
        </is>
      </c>
      <c r="E96" t="inlineStr">
        <is>
          <t>(dim lookup)</t>
        </is>
      </c>
      <c r="F96" t="inlineStr">
        <is>
          <t>N/A - derived in FSM</t>
        </is>
      </c>
    </row>
    <row r="97" ht="15.75" customHeight="1">
      <c r="A97" s="9" t="inlineStr">
        <is>
          <t>CPU_CONTACT</t>
        </is>
      </c>
      <c r="C97" t="inlineStr">
        <is>
          <t>S.CPU_CONTRACT CPU_CONTACT</t>
        </is>
      </c>
      <c r="D97" t="inlineStr">
        <is>
          <t>CAST(NULL AS STRING) CPU_CONTRACT -- hardcoded NULL in FSM, NOT actually populated from SO. (SO has CPU_CONTACT via plp2 but FSM doesn't use it)</t>
        </is>
      </c>
      <c r="E97" t="inlineStr">
        <is>
          <t>CPU_CONTACT (in SO via plp2)</t>
        </is>
      </c>
      <c r="F97" t="inlineStr">
        <is>
          <t>PLP - COALESCE(plp2.CPU_CONTACT, SOLF.CPU_CONTACT); STG = NULL. Note: FSM uses literal NULL.</t>
        </is>
      </c>
    </row>
    <row r="98" ht="15.75" customHeight="1">
      <c r="A98" s="9" t="inlineStr">
        <is>
          <t>SHIP_TO_ADDRESS</t>
        </is>
      </c>
      <c r="C98" t="inlineStr">
        <is>
          <t>S.ADDRESS SHIP_TO_ADDRESS</t>
        </is>
      </c>
      <c r="D98" t="inlineStr">
        <is>
          <t>C.ADDRESS</t>
        </is>
      </c>
      <c r="E98" t="inlineStr">
        <is>
          <t>SK_X_SHIP_TO_ORG_ID (FK to DIM_CUST_SITE_USE)</t>
        </is>
      </c>
      <c r="F98" t="inlineStr">
        <is>
          <t>STG: HZ_CUST_SITE_USES_ALL.SITEUSEID</t>
        </is>
      </c>
    </row>
    <row r="99" ht="15.75" customHeight="1">
      <c r="A99" s="9" t="inlineStr">
        <is>
          <t>DOCK_DOOR</t>
        </is>
      </c>
      <c r="B99" t="inlineStr">
        <is>
          <t>Yes</t>
        </is>
      </c>
      <c r="C99" t="inlineStr">
        <is>
          <t>S.DOCK_DOOR</t>
        </is>
      </c>
      <c r="D99" t="inlineStr">
        <is>
          <t>OA.DOCK_DOOR</t>
        </is>
      </c>
      <c r="E99" t="inlineStr">
        <is>
          <t>DOCK_DOOR</t>
        </is>
      </c>
      <c r="F99" t="inlineStr">
        <is>
          <t>PLP - COALESCE(plp4.DOCK_DOOR, SOLF.DOCK_DOOR); STG = NULL</t>
        </is>
      </c>
    </row>
    <row r="100" ht="15.75" customHeight="1">
      <c r="A100" s="9" t="inlineStr">
        <is>
          <t>LOAD_TYPE</t>
        </is>
      </c>
      <c r="C100" t="inlineStr">
        <is>
          <t>S.LOAD_TYPE</t>
        </is>
      </c>
      <c r="D100" t="inlineStr">
        <is>
          <t>CASE WHEN UPPER(ORDER_HEADER_STATUS) NOT IN ('CANCELLED','CANCELED') AND UPPER(STATUS) NOT IN ('CANCELLED','CANCELED') THEN OA.LOADTYPE END</t>
        </is>
      </c>
      <c r="E100" t="inlineStr">
        <is>
          <t>LOAD_TYPE / LOADTYPE</t>
        </is>
      </c>
      <c r="F100" t="inlineStr">
        <is>
          <t>PLP - COALESCE(plp4.LOAD_TYPE, SOLF.LOAD_TYPE) and COALESCE(plp4.LOADTYPE, SOLF.LOADTYPE); STG = NULL</t>
        </is>
      </c>
    </row>
    <row r="101" ht="15.75" customHeight="1">
      <c r="A101" s="9" t="inlineStr">
        <is>
          <t>FG_BRAND</t>
        </is>
      </c>
      <c r="C101" t="inlineStr">
        <is>
          <t>DECODE(I.PRODUCT_TYPE_CODE,'SA',I.X_PRODUCT_FAMILY,I.X_FG_BRAND) FG_BRAND</t>
        </is>
      </c>
      <c r="D101" t="inlineStr">
        <is>
          <t>I.X_FG_BRAND AS FG_BRAND (stored in FSM; view re-derives via DECODE)</t>
        </is>
      </c>
      <c r="E101" t="inlineStr">
        <is>
          <t>SK_X_INVENTORY_PRODUCT_ID (FK)</t>
        </is>
      </c>
      <c r="F101" t="inlineStr">
        <is>
          <t>STG: INVENTORY_ITEM_ID - SHIP_FROM_ORG_ID</t>
        </is>
      </c>
    </row>
    <row r="102" ht="15.75" customHeight="1">
      <c r="A102" s="9" t="inlineStr">
        <is>
          <t>PRODUCT_TYPE</t>
        </is>
      </c>
      <c r="C102" t="inlineStr">
        <is>
          <t>I.X_WATER_TYPE PRODUCT_TYPE</t>
        </is>
      </c>
      <c r="D102" t="inlineStr">
        <is>
          <t>I.X_WATER_TYPE AS PRODUCT_TYPE (also stored in FSM)</t>
        </is>
      </c>
      <c r="E102" t="inlineStr">
        <is>
          <t>SK_X_INVENTORY_PRODUCT_ID (FK)</t>
        </is>
      </c>
      <c r="F102" t="inlineStr">
        <is>
          <t>STG: INVENTORY_ITEM_ID - SHIP_FROM_ORG_ID</t>
        </is>
      </c>
    </row>
    <row r="103" ht="15.75" customHeight="1">
      <c r="A103" s="9" t="inlineStr">
        <is>
          <t>FG_FLAVOR</t>
        </is>
      </c>
      <c r="C103" t="inlineStr">
        <is>
          <t>DECODE(I.PRODUCT_TYPE_CODE,'SA',I.X_WATER_TYPE,I.X_FG_FLAVOR) FG_FLAVOR</t>
        </is>
      </c>
      <c r="D103" t="inlineStr">
        <is>
          <t>I.X_FG_FLAVOR AS FG_FLAVOR (stored; view re-derives)</t>
        </is>
      </c>
      <c r="E103" t="inlineStr">
        <is>
          <t>SK_X_INVENTORY_PRODUCT_ID (FK)</t>
        </is>
      </c>
      <c r="F103" t="inlineStr">
        <is>
          <t>STG: INVENTORY_ITEM_ID - SHIP_FROM_ORG_ID</t>
        </is>
      </c>
    </row>
    <row r="104" ht="15.75" customHeight="1">
      <c r="A104" s="9" t="inlineStr">
        <is>
          <t>FG_SALES_CATEGORY</t>
        </is>
      </c>
      <c r="C104" t="inlineStr">
        <is>
          <t>DECODE(I.PRODUCT_TYPE_CODE,'SA',I.X_PRODUCT,I.X_FG_SALES_CATGORY) FG_SALES_CATEGORY</t>
        </is>
      </c>
      <c r="D104" t="inlineStr">
        <is>
          <t>Derived in view from DIM_INV_MASTER_ITEMS I</t>
        </is>
      </c>
      <c r="E104" t="inlineStr">
        <is>
          <t>SK_X_INVENTORY_PRODUCT_ID (FK)</t>
        </is>
      </c>
      <c r="F104" t="inlineStr">
        <is>
          <t>STG: INVENTORY_ITEM_ID - SHIP_FROM_ORG_ID</t>
        </is>
      </c>
    </row>
    <row r="105" ht="15.75" customHeight="1">
      <c r="A105" s="9" t="inlineStr">
        <is>
          <t>FG_BUSINESS_UNIT</t>
        </is>
      </c>
      <c r="C105" t="inlineStr">
        <is>
          <t>DECODE(I.PRODUCT_TYPE_CODE,'SA',I.X_ATTRIBUTE14,I.X_FG_BUSINESS_UNIT) FG_BUSINESS_UNIT</t>
        </is>
      </c>
      <c r="D105" t="inlineStr">
        <is>
          <t>I.X_FG_BUSINESS_UNIT AS FG_BUSINESS_UNIT (stored; view re-derives)</t>
        </is>
      </c>
      <c r="E105" t="inlineStr">
        <is>
          <t>SK_X_INVENTORY_PRODUCT_ID (FK)</t>
        </is>
      </c>
      <c r="F105" t="inlineStr">
        <is>
          <t>STG: INVENTORY_ITEM_ID - SHIP_FROM_ORG_ID</t>
        </is>
      </c>
    </row>
    <row r="106" ht="15.75" customHeight="1">
      <c r="A106" s="9" t="inlineStr">
        <is>
          <t>DEF_SHIP_FROM_ORG</t>
        </is>
      </c>
      <c r="C106" t="inlineStr">
        <is>
          <t>S.DEF_ORG DEF_SHIP_FROM_ORG</t>
        </is>
      </c>
      <c r="D106" t="inlineStr">
        <is>
          <t>CAST(NULL AS STRING) AS DEF_ORG -- hardcoded NULL in FSM</t>
        </is>
      </c>
      <c r="E106" t="inlineStr">
        <is>
          <t>DEF_ORG (in SO, not used by FSM)</t>
        </is>
      </c>
      <c r="F106" t="inlineStr">
        <is>
          <t>PLP - SOLF.DEF_ORG; STG = NULL. FSM ignores it.</t>
        </is>
      </c>
    </row>
    <row r="107" ht="15.75" customHeight="1">
      <c r="A107" s="9" t="inlineStr">
        <is>
          <t>CUSTOMER_ITEM</t>
        </is>
      </c>
      <c r="C107" t="inlineStr">
        <is>
          <t>S.CUSTOMER_ITEM</t>
        </is>
      </c>
      <c r="D107" t="inlineStr">
        <is>
          <t>I.X_CUSTOMER_ITEM_NUMBER AS CUSTOMER_ITEM</t>
        </is>
      </c>
      <c r="E107" t="inlineStr">
        <is>
          <t>SK_X_INVENTORY_PRODUCT_ID (FK to DIM_INV_MASTER_ITEMS)</t>
        </is>
      </c>
      <c r="F107" t="inlineStr">
        <is>
          <t>STG: INVENTORY_ITEM_ID - SHIP_FROM_ORG_ID</t>
        </is>
      </c>
    </row>
    <row r="108" ht="15.75" customHeight="1">
      <c r="A108" s="9" t="inlineStr">
        <is>
          <t>DEF_SHIP_FROM_ROLLUP_ORG</t>
        </is>
      </c>
      <c r="B108" t="inlineStr">
        <is>
          <t>Yes</t>
        </is>
      </c>
      <c r="C108" t="inlineStr">
        <is>
          <t>S.DEF_ROLLUP_ORG_CODE DEF_SHIP_FROM_ROLLUP_ORG</t>
        </is>
      </c>
      <c r="D108" t="inlineStr">
        <is>
          <t>OA.DEF_ROLLUP_ORG_CODE</t>
        </is>
      </c>
      <c r="E108" t="inlineStr">
        <is>
          <t>DEF_ROLLUP_ORG_CODE</t>
        </is>
      </c>
      <c r="F108" t="inlineStr">
        <is>
          <t>STG: SOLF.DEF_ROLLUP_ORG_CODE (no PLP override). Likely from DOO/FulfillLine attribute.</t>
        </is>
      </c>
    </row>
    <row r="109" ht="15.75" customHeight="1">
      <c r="A109" s="9" t="inlineStr">
        <is>
          <t>ORDER_TYPE_CODE</t>
        </is>
      </c>
      <c r="C109" t="inlineStr">
        <is>
          <t>S.ORDER_TYPE_CODE</t>
        </is>
      </c>
      <c r="D109" t="inlineStr">
        <is>
          <t>OT.XACT_SUBTYPE_CODE AS ORDER_TYPE_CODE (from DIM_OM_TRANSACTION_TYPE on SK_XACT_TYPE_ID)</t>
        </is>
      </c>
      <c r="E109" t="inlineStr">
        <is>
          <t>SK_XACT_TYPE_ID (FK to DIM_OM_TRANSACTION_TYPE)</t>
        </is>
      </c>
      <c r="F109" t="inlineStr">
        <is>
          <t>STG: 'SALES_ORDLNS-'||LINE_CATEGORY_CODE||'-'||ORDER_TYPE_ID||'-SELF SHIP/DROP SHIP' -&gt; XACT_TYPE_ID; ORDER_TYPE_ID = DOO_HEADERS_ALL.HEADERORDERTYPECODE</t>
        </is>
      </c>
    </row>
    <row r="110" ht="15.75" customHeight="1">
      <c r="A110" s="9" t="inlineStr">
        <is>
          <t>SHIP_TO_ORG</t>
        </is>
      </c>
      <c r="C110" t="inlineStr">
        <is>
          <t>S.SHIP_TO_ORG</t>
        </is>
      </c>
      <c r="D110" t="inlineStr">
        <is>
          <t>SHIP_TO.ORGANIZATION_CODE AS SHIP_TO_ORG (from DIM_HR_ORG SHIP_TO on SK_X_DESTINATION_ORGANIZATION_ID)</t>
        </is>
      </c>
      <c r="E110" t="inlineStr">
        <is>
          <t>SK_X_DESTINATION_ORGANIZATION_ID (FK to DIM_HR_ORG)</t>
        </is>
      </c>
      <c r="F110" t="inlineStr">
        <is>
          <t>PLP - COALESCE(plp1.SK_X_DESTINATION_ORGANIZATION_ID, SOLF.SK_X_DESTINATION_ORGANIZATION_ID); STG: DESTINATION_ORGANIZATION_ID</t>
        </is>
      </c>
    </row>
    <row r="111" ht="15.75" customHeight="1">
      <c r="A111" s="9" t="inlineStr">
        <is>
          <t>SHIP_TO_ROLLUP_ORG</t>
        </is>
      </c>
      <c r="C111" t="inlineStr">
        <is>
          <t>S.SHIP_TO_ROLLUP_ORG</t>
        </is>
      </c>
      <c r="D111" t="inlineStr">
        <is>
          <t>SHIP_TO.X_ROLLUP_ORGANIZATION_CODE AS SHIP_TO_ROLLUP_ORG</t>
        </is>
      </c>
      <c r="E111" t="inlineStr">
        <is>
          <t>SK_X_DESTINATION_ORGANIZATION_ID (FK)</t>
        </is>
      </c>
      <c r="F111" t="inlineStr">
        <is>
          <t>PLP - COALESCE(plp1, SOLF) for SK_X_DESTINATION_ORGANIZATION_ID</t>
        </is>
      </c>
    </row>
    <row r="112" ht="15.75" customHeight="1">
      <c r="A112" s="9" t="inlineStr">
        <is>
          <t>SHIP_TO_SC_REGION</t>
        </is>
      </c>
      <c r="C112" t="inlineStr">
        <is>
          <t>S.SHIP_TO_SC_REGION</t>
        </is>
      </c>
      <c r="D112" t="inlineStr">
        <is>
          <t>SHIP_TO.X_SUPPLY_CHAIN_REGION AS SHIP_TO_SC_REGION</t>
        </is>
      </c>
      <c r="E112" t="inlineStr">
        <is>
          <t>SK_X_DESTINATION_ORGANIZATION_ID (FK)</t>
        </is>
      </c>
      <c r="F112" t="inlineStr">
        <is>
          <t>PLP - COALESCE(plp1, SOLF) for SK_X_DESTINATION_ORGANIZATION_ID</t>
        </is>
      </c>
    </row>
    <row r="113" ht="15.75" customHeight="1">
      <c r="A113" s="9" t="inlineStr">
        <is>
          <t>FIRST_RESCHEDULE_REASON_CODE</t>
        </is>
      </c>
      <c r="C113" t="inlineStr">
        <is>
          <t>S.FIRST_RESCHEDULE_REASON_CODE</t>
        </is>
      </c>
      <c r="D113" t="inlineStr">
        <is>
          <t>FIRST_VALUE(CHANGE_REASON_CODE, TRUE) OVER (PARTITION BY ORDER_NUMBER ORDER BY (CASE WHEN CHANGE_REASON_CODE IS NULL THEN 1 ELSE 0 END), HIST_CREATION_DATE ASC) -- window function over FACT_ORDER_HISTORY_ACTIVITY</t>
        </is>
      </c>
      <c r="E113" t="inlineStr">
        <is>
          <t>(derived from FACT_ORDER_HISTORY_ACTIVITY.REASON_CODE)</t>
        </is>
      </c>
      <c r="F113" t="inlineStr">
        <is>
          <t>N/A - derived in FSM</t>
        </is>
      </c>
    </row>
    <row r="114" ht="15.75" customHeight="1">
      <c r="A114" s="9" t="inlineStr">
        <is>
          <t>ITEM_DESCRIPTION</t>
        </is>
      </c>
      <c r="C114" t="inlineStr">
        <is>
          <t>I.X_ITEM_DESCRIPTION AS ITEM_DESCRIPTION</t>
        </is>
      </c>
      <c r="D114" t="inlineStr">
        <is>
          <t>Not in FSM directly - derived in view from DIM_INV_MASTER_ITEMS I.X_ITEM_DESCRIPTION</t>
        </is>
      </c>
      <c r="E114" t="inlineStr">
        <is>
          <t>SK_X_INVENTORY_PRODUCT_ID (FK)</t>
        </is>
      </c>
      <c r="F114" t="inlineStr">
        <is>
          <t>STG: INVENTORY_ITEM_ID-SHIP_FROM_ORG_ID</t>
        </is>
      </c>
    </row>
    <row r="115" ht="15.75" customHeight="1">
      <c r="A115" s="9" t="inlineStr">
        <is>
          <t>SHIP_CONFIRM_YEAR</t>
        </is>
      </c>
      <c r="C115" t="inlineStr">
        <is>
          <t>SHIP_WEEK.X_PLANNING_YEAR SHIP_CONFIRM_YEAR</t>
        </is>
      </c>
      <c r="D115" t="inlineStr">
        <is>
          <t>Derived in view via LEFT JOIN DIM_MCAL_DAY SHIP_WEEK ON CAST(S.SHIP_CONFIRM_DATE AS DATE) = CAST(SHIP_WEEK.MCAL_DAY_DT AS DATE) AND MCAL_CAL_ID='Planning~42'</t>
        </is>
      </c>
      <c r="E115" t="inlineStr">
        <is>
          <t>(based on SHIP_CONFIRM_DATE_PST)</t>
        </is>
      </c>
      <c r="F115" t="inlineStr">
        <is>
          <t>N/A - dim lookup in view</t>
        </is>
      </c>
    </row>
    <row r="116" ht="15.75" customHeight="1">
      <c r="A116" s="9" t="inlineStr">
        <is>
          <t>SHIP_CONFIRM_WEEK</t>
        </is>
      </c>
      <c r="C116" t="inlineStr">
        <is>
          <t>SHIP_WEEK.X_PLANNING_WEEK SHIP_CONFIRM_WEEK</t>
        </is>
      </c>
      <c r="D116" t="inlineStr">
        <is>
          <t>View-only via DIM_MCAL_DAY join on SHIP_CONFIRM_DATE</t>
        </is>
      </c>
      <c r="E116" t="inlineStr">
        <is>
          <t>(based on SHIP_CONFIRM_DATE_PST)</t>
        </is>
      </c>
      <c r="F116" t="inlineStr">
        <is>
          <t>N/A - dim lookup in view</t>
        </is>
      </c>
    </row>
    <row r="117" ht="15.75" customHeight="1">
      <c r="A117" s="9" t="inlineStr">
        <is>
          <t>LOCATION</t>
        </is>
      </c>
      <c r="B117" t="inlineStr">
        <is>
          <t>Yes</t>
        </is>
      </c>
      <c r="C117" t="inlineStr">
        <is>
          <t>S.ADDRESS_DESCRIPTION LOCATION</t>
        </is>
      </c>
      <c r="D117" t="inlineStr">
        <is>
          <t>C.ADDRESS_DESCRIPTION</t>
        </is>
      </c>
      <c r="E117" t="inlineStr">
        <is>
          <t>SK_X_SHIP_TO_ORG_ID (FK to DIM_CUST_SITE_USE)</t>
        </is>
      </c>
      <c r="F117" t="inlineStr">
        <is>
          <t>STG: HZ_CUST_SITE_USES_ALL.SITEUSEID</t>
        </is>
      </c>
    </row>
    <row r="118" ht="15.75" customHeight="1">
      <c r="A118" s="9" t="inlineStr">
        <is>
          <t>SOA_SHIPMENT_WEEK</t>
        </is>
      </c>
      <c r="C118" t="inlineStr">
        <is>
          <t>SOA_SHIP_WEEK.X_PLANNING_WEEK SOA_SHIPMENT_WEEK</t>
        </is>
      </c>
      <c r="D118" t="inlineStr">
        <is>
          <t>View-only via LEFT JOIN DIM_MCAL_DAY SOA_SHIP_WEEK ON CAST(S.SOA_SHIPMENT_DATE AS DATE)=CAST(MCAL_DAY_DT AS DATE) AND MCAL_CAL_ID='Planning~42'</t>
        </is>
      </c>
      <c r="E118" t="inlineStr">
        <is>
          <t>(based on SOA_SHIPMENT_DATE)</t>
        </is>
      </c>
      <c r="F118" t="inlineStr">
        <is>
          <t>N/A - dim lookup in view</t>
        </is>
      </c>
    </row>
    <row r="119" ht="15.75" customHeight="1">
      <c r="A119" s="9" t="inlineStr">
        <is>
          <t>SOA_SHIPMENT_YEAR</t>
        </is>
      </c>
      <c r="C119" t="inlineStr">
        <is>
          <t>SOA_SHIP_WEEK.X_PLANNING_YEAR SOA_SHIPMENT_YEAR</t>
        </is>
      </c>
      <c r="D119" t="inlineStr">
        <is>
          <t>View-only via DIM_MCAL_DAY join on SOA_SHIPMENT_DATE</t>
        </is>
      </c>
      <c r="E119" t="inlineStr">
        <is>
          <t>(based on SOA_SHIPMENT_DATE)</t>
        </is>
      </c>
      <c r="F119" t="inlineStr">
        <is>
          <t>N/A - dim lookup in view</t>
        </is>
      </c>
    </row>
    <row r="120" ht="15.75" customHeight="1">
      <c r="A120" s="9" t="inlineStr">
        <is>
          <t>SOA_SHORT_SHIPPED_CASES</t>
        </is>
      </c>
      <c r="C120" t="inlineStr">
        <is>
          <t>(S.QTY_REQUESTED - S.SOA_SHIPPED_QUANTITY) AS SOA_SHORT_SHIPPED_CASES</t>
        </is>
      </c>
      <c r="D120" t="inlineStr">
        <is>
          <t>Derived in view: QTY_REQUESTED - SOA_SHIPPED_QUANTITY</t>
        </is>
      </c>
      <c r="E120" t="inlineStr">
        <is>
          <t>SALES_QTY, SOA_SHIPPED_QUANTITY</t>
        </is>
      </c>
      <c r="F120" t="inlineStr">
        <is>
          <t>PLP - SOA_SHIPPED_QUANTITY from plp6/plp5/SOLF; STG SOA_SHIPPED_QUANTITY = 0</t>
        </is>
      </c>
    </row>
    <row r="121" ht="15.75" customHeight="1">
      <c r="A121" s="9" t="inlineStr">
        <is>
          <t>SOA_SHIPPED_24PKEQCASES</t>
        </is>
      </c>
      <c r="C121" t="inlineStr">
        <is>
          <t>CASE WHEN (S.SOA_SHIPPED_QUANTITY * I.X_ATTRIBUTE5) &gt; S.PKEQ24_CASES_REQUESTED THEN PKEQ24_CASES_REQUESTED ELSE (SOA_SHIPPED_QUANTITY * I.X_ATTRIBUTE5) END</t>
        </is>
      </c>
      <c r="D121" t="inlineStr">
        <is>
          <t>Derived in view from SOA_SHIPPED_QUANTITY * DIM_INV_MASTER_ITEMS.X_ATTRIBUTE5 (24pk factor), capped at PKEQ24_CASES_REQUESTED</t>
        </is>
      </c>
      <c r="E121" t="inlineStr">
        <is>
          <t>SOA_SHIPPED_QUANTITY + SK_X_INVENTORY_PRODUCT_ID</t>
        </is>
      </c>
      <c r="F121" t="inlineStr">
        <is>
          <t>PLP - SOA_SHIPPED_QUANTITY from plp6/plp5</t>
        </is>
      </c>
    </row>
    <row r="122" ht="15.75" customHeight="1">
      <c r="A122" s="9" t="inlineStr">
        <is>
          <t>SOA_SHORT_SHIPPED_24PKEQCASES</t>
        </is>
      </c>
      <c r="C122" t="inlineStr">
        <is>
          <t>(S.QTY_REQUESTED - S.SOA_SHIPPED_QUANTITY) * I.X_ATTRIBUTE5</t>
        </is>
      </c>
      <c r="D122" t="inlineStr">
        <is>
          <t>Derived in view</t>
        </is>
      </c>
      <c r="E122" t="inlineStr">
        <is>
          <t>SALES_QTY, SOA_SHIPPED_QUANTITY + SK_X_INVENTORY_PRODUCT_ID</t>
        </is>
      </c>
      <c r="F122" t="inlineStr">
        <is>
          <t>PLP for SOA_SHIPPED_QUANTITY</t>
        </is>
      </c>
    </row>
    <row r="123" ht="15.75" customHeight="1">
      <c r="A123" s="9" t="inlineStr">
        <is>
          <t>X_ATTRIBUTE14</t>
        </is>
      </c>
      <c r="C123" t="inlineStr">
        <is>
          <t>I.X_ATTRIBUTE14 X_ATTRIBUTE14</t>
        </is>
      </c>
      <c r="D123" t="inlineStr">
        <is>
          <t>Not in FSM - sourced directly in view from DIM_INV_MASTER_ITEMS</t>
        </is>
      </c>
      <c r="E123" t="inlineStr">
        <is>
          <t>SK_X_INVENTORY_PRODUCT_ID (FK)</t>
        </is>
      </c>
      <c r="F123" t="inlineStr">
        <is>
          <t>STG: INVENTORY_ITEM_ID - SHIP_FROM_ORG_ID</t>
        </is>
      </c>
    </row>
    <row r="124" ht="15.75" customHeight="1">
      <c r="A124" s="9" t="inlineStr">
        <is>
          <t>ORIGINAL_REQUESTED_CASES</t>
        </is>
      </c>
      <c r="C124" t="inlineStr">
        <is>
          <t>S.ORIGINAL_REQUESTED_QTY_CASES AS ORIGINAL_REQUESTED_CASES</t>
        </is>
      </c>
      <c r="D124" t="inlineStr">
        <is>
          <t>CASE WHEN LATEST_CHANGE_FILTER='Y' THEN ORIGINAL_REQUESTED_QTY_CASES ELSE 0 END; ORIGINAL_REQUESTED_QTY_CASES = FIRST_VALUE(ORDERED_QTY_CASES) OVER (...ROWS BETWEEN 1 PRECEDING AND CURRENT ROW); ORDERED_QTY_CASES = UOMD.CONVERSION_RATE_TO_CASE * OA.ORDERED_QTY</t>
        </is>
      </c>
      <c r="E124" t="inlineStr">
        <is>
          <t>ORDERED_QTY (with UOM conversion)</t>
        </is>
      </c>
      <c r="F124" t="inlineStr">
        <is>
          <t>STG: ORDERED_QTY = ORDERED_QUANTITY + CANCELLED_QUANTITY from FulfillLine</t>
        </is>
      </c>
    </row>
    <row r="125" ht="15.75" customHeight="1">
      <c r="A125" s="9" t="inlineStr">
        <is>
          <t>ORIGINAL_REQUESTED_24PKEQCASES</t>
        </is>
      </c>
      <c r="C125" t="inlineStr">
        <is>
          <t>S.ORIGINAL_REQUESTED_QTY * CAST(CASE WHEN I.x_attribute5='Unspecified' THEN 0 ELSE I.x_attribute5 END AS DOUBLE)</t>
        </is>
      </c>
      <c r="D125" t="inlineStr">
        <is>
          <t>Derived in view from ORIGINAL_REQUESTED_QTY * X_ATTRIBUTE5; ORIGINAL_REQUESTED_QTY = FIRST_VALUE(ORDERED_QTY) window in FSM</t>
        </is>
      </c>
      <c r="E125" t="inlineStr">
        <is>
          <t>ORDERED_QTY + SK_X_INVENTORY_PRODUCT_ID</t>
        </is>
      </c>
      <c r="F125" t="inlineStr">
        <is>
          <t>STG: ORDERED_QTY (FulfillLine.FULFILLLINEORDEREDQTY + CANCELLED)</t>
        </is>
      </c>
    </row>
    <row r="126" ht="15.75" customHeight="1">
      <c r="A126" s="9" t="inlineStr">
        <is>
          <t>SHIP_TO_SH_REGION</t>
        </is>
      </c>
      <c r="C126" t="inlineStr">
        <is>
          <t>DEST_IO.X_SHIPPING_REGION SHIP_TO_SH_REGION</t>
        </is>
      </c>
      <c r="D126" t="inlineStr">
        <is>
          <t>Not stored in FSM directly - derived in view from DIM_HR_ORG DEST_IO on SK_X_DESTINATION_ORGANIZATION_ID = SK_ORG_ID</t>
        </is>
      </c>
      <c r="E126" t="inlineStr">
        <is>
          <t>SK_X_DESTINATION_ORGANIZATION_ID (FK)</t>
        </is>
      </c>
      <c r="F126" t="inlineStr">
        <is>
          <t>PLP - COALESCE(plp1.SK_X_DESTINATION_ORGANIZATION_ID, SOLF.SK_X_DESTINATION_ORGANIZATION_ID)</t>
        </is>
      </c>
    </row>
    <row r="127" ht="15.75" customHeight="1">
      <c r="A127" s="9" t="inlineStr">
        <is>
          <t>SUPPLY_CHAIN_LOAD_TYPE</t>
        </is>
      </c>
      <c r="C127" t="inlineStr">
        <is>
          <t>S.SUPPLY_CHAIN_LOADTYPE AS SUPPLY_CHAIN_LOAD_TYPE</t>
        </is>
      </c>
      <c r="D127" t="inlineStr">
        <is>
          <t>CASE WHEN UPPER(ORDER_HEADER_STATUS) NOT IN ('CANCELLED','CANCELED') AND UPPER(STATUS) NOT IN ('CANCELLED','CANCELED') THEN OA.SUPPLY_CHAIN_LOADTYPE END</t>
        </is>
      </c>
      <c r="E127" t="inlineStr">
        <is>
          <t>SUPPLY_CHAIN_LOADTYPE</t>
        </is>
      </c>
      <c r="F127" t="inlineStr">
        <is>
          <t>PLP - COALESCE(plp4.SUPPLY_CHAIN_LOADTYPE, SOLF.SUPPLY_CHAIN_LOADTYPE); STG = NULL</t>
        </is>
      </c>
    </row>
    <row r="128" ht="15.75" customHeight="1">
      <c r="A128" s="9" t="inlineStr">
        <is>
          <t>CANCEL_REASON_BUCKET</t>
        </is>
      </c>
      <c r="C128" t="inlineStr">
        <is>
          <t>CASE: NULL when STATUS NOT IN ('CANCELLED','CANCELED'); 'CANCELLED - NIAGARA' for Niagara codes; 'CANCELLED - CUSTOMER' for customer codes; else 'CANCELLED - OTHER'</t>
        </is>
      </c>
      <c r="D128" t="inlineStr">
        <is>
          <t>Derived in view from STATUS and CANCEL_REASON_CODE</t>
        </is>
      </c>
      <c r="E128" t="inlineStr">
        <is>
          <t>(derived in view from STATUS, CANCEL_REASON_CODE)</t>
        </is>
      </c>
      <c r="F128" t="inlineStr">
        <is>
          <t>N/A - derived in view</t>
        </is>
      </c>
    </row>
    <row r="129" ht="15.75" customHeight="1">
      <c r="A129" s="9" t="inlineStr">
        <is>
          <t>REQUESTED_PALLETS</t>
        </is>
      </c>
      <c r="C129" t="inlineStr">
        <is>
          <t>S.PALLETS_REQUESTED REQUESTED_PALLETS</t>
        </is>
      </c>
      <c r="D129" t="inlineStr">
        <is>
          <t>CASE WHEN LATEST_CHANGE_FILTER='Y' THEN (UOMD.CONVERSION_RATE_TO_PALLET * OA.SALES_QTY) ELSE 0 END</t>
        </is>
      </c>
      <c r="E129" t="inlineStr">
        <is>
          <t>SALES_QTY (UOM conversion)</t>
        </is>
      </c>
      <c r="F129" t="inlineStr">
        <is>
          <t>STG: SALES_QTY = ORDERED_QUANTITY (FulfillLine)</t>
        </is>
      </c>
    </row>
    <row r="130" ht="15.75" customHeight="1">
      <c r="A130" s="9" t="inlineStr">
        <is>
          <t>SHIPPED_PALLETS</t>
        </is>
      </c>
      <c r="C130" t="inlineStr">
        <is>
          <t>S.PALLETS_SHIPPED SHIPPED_PALLETS</t>
        </is>
      </c>
      <c r="D130" t="inlineStr">
        <is>
          <t>CASE WHEN LATEST_CHANGE_FILTER='Y' THEN (UOMD.CONVERSION_RATE_TO_PALLET * OA.TOTAL_SHIPPED_QTY) ELSE 0 END</t>
        </is>
      </c>
      <c r="E130" t="inlineStr">
        <is>
          <t>TOTAL_SHIPPED_QTY (UOM conversion)</t>
        </is>
      </c>
      <c r="F130" t="inlineStr">
        <is>
          <t>STG: TOTAL_SHIPPED_QTY = SHIPPED_QUANTITY (FulfillLine)</t>
        </is>
      </c>
    </row>
    <row r="131" ht="15.75" customHeight="1">
      <c r="A131" s="9" t="inlineStr">
        <is>
          <t>SHORT_PALLETS</t>
        </is>
      </c>
      <c r="C131" t="inlineStr">
        <is>
          <t>S.PALLETS_SHORT_SHIPPED SHORT_PALLETS</t>
        </is>
      </c>
      <c r="D131" t="inlineStr">
        <is>
          <t>CASE WHEN LATEST_CHANGE_FILTER='Y' THEN (UOMD.CONVERSION_RATE_TO_PALLET * (OA.SALES_QTY - OA.TOTAL_SHIPPED_QTY)) ELSE 0 END</t>
        </is>
      </c>
      <c r="E131" t="inlineStr">
        <is>
          <t>SALES_QTY - TOTAL_SHIPPED_QTY (UOM conversion)</t>
        </is>
      </c>
      <c r="F131" t="inlineStr">
        <is>
          <t>STG: ORDERED_QUANTITY - SHIPPED_QUANTITY</t>
        </is>
      </c>
    </row>
    <row r="132" ht="15.75" customHeight="1">
      <c r="A132" s="9" t="inlineStr">
        <is>
          <t>CANCELLED_CASES</t>
        </is>
      </c>
      <c r="C132" t="inlineStr">
        <is>
          <t>S.CANCELLED_CASES</t>
        </is>
      </c>
      <c r="D132" t="inlineStr">
        <is>
          <t>(UOMD.CONVERSION_RATE_TO_CASE * OA.CANCELLED_QTY) AS CANCELLED_CASES; cast as DOUBLE</t>
        </is>
      </c>
      <c r="E132" t="inlineStr">
        <is>
          <t>CANCELLED_QTY (UOM conversion)</t>
        </is>
      </c>
      <c r="F132" t="inlineStr">
        <is>
          <t>STG: CANCELLED_QTY = SQ_BCI_SALES_ORDLNS.CANCELLED_QUANTITY = FulfillLine.FULFILLLINECANCELEDQTY</t>
        </is>
      </c>
    </row>
    <row r="133" ht="15.75" customHeight="1">
      <c r="A133" s="9" t="inlineStr">
        <is>
          <t>CANCELLED_24PKEQCASES</t>
        </is>
      </c>
      <c r="C133" t="inlineStr">
        <is>
          <t>S.CANCELLED_24PKEQCASES CANCELLED_24PKEQCASES</t>
        </is>
      </c>
      <c r="D133" t="inlineStr">
        <is>
          <t>(UOMD.CONVERSION_RATE_TO_24PK * OA.CANCELLED_QTY) AS CANCELLED_24PKEQCASES</t>
        </is>
      </c>
      <c r="E133" t="inlineStr">
        <is>
          <t>CANCELLED_QTY (UOM conversion)</t>
        </is>
      </c>
      <c r="F133" t="inlineStr">
        <is>
          <t>STG: CANCELLED_QTY from FulfillLine.FULFILLLINECANCELEDQTY</t>
        </is>
      </c>
    </row>
    <row r="134" ht="15.75" customHeight="1">
      <c r="A134" s="9" t="inlineStr">
        <is>
          <t>CANCELLED_PALLETS</t>
        </is>
      </c>
      <c r="C134" t="inlineStr">
        <is>
          <t>S.CANCELLED_PALLETS CANCELLED_PALLETS</t>
        </is>
      </c>
      <c r="D134" t="inlineStr">
        <is>
          <t>(UOMD.CONVERSION_RATE_TO_PALLET * OA.CANCELLED_QTY) AS CANCELLED_PALLETS</t>
        </is>
      </c>
      <c r="E134" t="inlineStr">
        <is>
          <t>CANCELLED_QTY (UOM conversion)</t>
        </is>
      </c>
      <c r="F134" t="inlineStr">
        <is>
          <t>STG: CANCELLED_QTY from FulfillLine.FULFILLLINECANCELEDQTY</t>
        </is>
      </c>
    </row>
    <row r="135" ht="15.75" customHeight="1">
      <c r="A135" s="9" t="inlineStr">
        <is>
          <t>SHORT_24PKEQCASES</t>
        </is>
      </c>
      <c r="C135" t="inlineStr">
        <is>
          <t>S.PKEQ24_CASES_SHORT_SHIPPED SHORT_24PKEQCASES</t>
        </is>
      </c>
      <c r="D135" t="inlineStr">
        <is>
          <t>Same as PKEQ24_CASES_SHORT_SHIPPED: (UOMD.CONVERSION_RATE_TO_24PK * (SALES_QTY - NVL(TOTAL_SHIPPED_QTY,0))) when LATEST_CHANGE_FILTER='Y'</t>
        </is>
      </c>
      <c r="E135" t="inlineStr">
        <is>
          <t>SALES_QTY - TOTAL_SHIPPED_QTY (UOM conversion)</t>
        </is>
      </c>
      <c r="F135" t="inlineStr">
        <is>
          <t>STG: ORDERED_QUANTITY - SHIPPED_QUANTITY</t>
        </is>
      </c>
    </row>
    <row r="136" ht="15.75" customHeight="1">
      <c r="A136" s="9" t="inlineStr">
        <is>
          <t>WATER_TYPE_SC</t>
        </is>
      </c>
      <c r="B136" t="inlineStr">
        <is>
          <t>Yes</t>
        </is>
      </c>
      <c r="C136" t="inlineStr">
        <is>
          <t>S.WATER_TYPE_SC WATER_TYPE_SC</t>
        </is>
      </c>
      <c r="D136" t="inlineStr">
        <is>
          <t>I.X_WATER_TYPE_SC AS WATER_TYPE_SC</t>
        </is>
      </c>
      <c r="E136" t="inlineStr">
        <is>
          <t>SK_X_INVENTORY_PRODUCT_ID (FK)</t>
        </is>
      </c>
      <c r="F136" t="inlineStr">
        <is>
          <t>STG: INVENTORY_ITEM_ID - SHIP_FROM_ORG_ID</t>
        </is>
      </c>
    </row>
    <row r="137" ht="15.75" customHeight="1">
      <c r="A137" s="9" t="inlineStr">
        <is>
          <t>PROMISE_WEEK</t>
        </is>
      </c>
      <c r="C137" t="inlineStr">
        <is>
          <t>S.WEEK_NUMBER PROMISE_WEEK</t>
        </is>
      </c>
      <c r="D137" t="inlineStr">
        <is>
          <t>CAST(PROM_WEEK.MCAL_WEEK AS INT) -- DIM_MCAL_PLANNING_WEEK joined on FINAL_CUSTOMER_AGREED_TO_DATE (same as WEEK_NUMBER)</t>
        </is>
      </c>
      <c r="E137" t="inlineStr">
        <is>
          <t>(dim lookup based on FINAL_CUSTOMER_AGREED_DATE)</t>
        </is>
      </c>
      <c r="F137" t="inlineStr">
        <is>
          <t>N/A</t>
        </is>
      </c>
    </row>
    <row r="138" ht="15.75" customHeight="1">
      <c r="A138" s="9" t="inlineStr">
        <is>
          <t>CRITICAL_FLAG</t>
        </is>
      </c>
      <c r="B138" t="inlineStr">
        <is>
          <t>Yes</t>
        </is>
      </c>
      <c r="C138" t="inlineStr">
        <is>
          <t>S.CRITICAL_FLAG CRITICAL_FLAG</t>
        </is>
      </c>
      <c r="D138" t="inlineStr">
        <is>
          <t>OA.X_SHIPMENT_PRIORITY_CODE AS CRITICAL_FLAG</t>
        </is>
      </c>
      <c r="E138" t="inlineStr">
        <is>
          <t>X_SHIPMENT_PRIORITY_CODE</t>
        </is>
      </c>
      <c r="F138" t="inlineStr">
        <is>
          <t>STG: TRIM(SQ_BCI_SALES_ORDLNS.X_SHIPMENT_PRIORITY_CODE) - DOO/FulfillLine attribute</t>
        </is>
      </c>
    </row>
    <row r="139" ht="15.75" customHeight="1">
      <c r="A139" s="9" t="inlineStr">
        <is>
          <t>DEMAND_CLASS_CODE</t>
        </is>
      </c>
      <c r="B139" t="inlineStr">
        <is>
          <t>Yes</t>
        </is>
      </c>
      <c r="C139" t="inlineStr">
        <is>
          <t>S.DEMAND_CLASS_CODE</t>
        </is>
      </c>
      <c r="D139" t="inlineStr">
        <is>
          <t>CREATE: OA.X_OLA_DEMAND_CLASS_CODE; UPDATE: OA.OLH_DEMAND_CLASS_CODE (from OHA)</t>
        </is>
      </c>
      <c r="E139" t="inlineStr">
        <is>
          <t>X_OLA_DEMAND_CLASS_CODE</t>
        </is>
      </c>
      <c r="F139" t="inlineStr">
        <is>
          <t>STG: TRIM(SQ_BCI_SALES_ORDLNS.X_OLA_DEMAND_CLASS_CODE) - DOO/FulfillLine attribute</t>
        </is>
      </c>
    </row>
    <row r="140" ht="15.75" customHeight="1">
      <c r="A140" s="9" t="inlineStr">
        <is>
          <t>AOP_RESULT</t>
        </is>
      </c>
      <c r="C140" t="inlineStr">
        <is>
          <t>S.AOP_RESULT</t>
        </is>
      </c>
      <c r="D140" t="inlineStr">
        <is>
          <t>CREATE: OA.X_OLA_ATTRIBUTE13; UPDATE: OA.ATTRIBUTE13 (from OHA)</t>
        </is>
      </c>
      <c r="E140" t="inlineStr">
        <is>
          <t>X_OLA_ATTRIBUTE13 (and OHA.ATTRIBUTE13)</t>
        </is>
      </c>
      <c r="F140" t="inlineStr">
        <is>
          <t>STG: TRIM(SQ_BCI_SALES_ORDLNS.OLA_ATTRIBUTE13) - DOO/FulfillLine attribute</t>
        </is>
      </c>
    </row>
    <row r="141" ht="15.75" customHeight="1">
      <c r="A141" s="9" t="inlineStr">
        <is>
          <t>GENPLAN_RESULT</t>
        </is>
      </c>
      <c r="C141" t="inlineStr">
        <is>
          <t>S.GENPLAN_RESULT</t>
        </is>
      </c>
      <c r="D141" t="inlineStr">
        <is>
          <t>CREATE: OA.X_OLA_ATTRIBUTE14; UPDATE: OA.ATTRIBUTE14 (from OHA)</t>
        </is>
      </c>
      <c r="E141" t="inlineStr">
        <is>
          <t>X_OLA_ATTRIBUTE14</t>
        </is>
      </c>
      <c r="F141" t="inlineStr">
        <is>
          <t>STG: TRIM(SQ_BCI_SALES_ORDLNS.OLA_ATTRIBUTE14) - DOO/FulfillLine attribute</t>
        </is>
      </c>
    </row>
    <row r="142" ht="15.75" customHeight="1">
      <c r="A142" s="9" t="inlineStr">
        <is>
          <t>SHIPMENT_PRELOAD</t>
        </is>
      </c>
      <c r="B142" t="inlineStr">
        <is>
          <t>Yes</t>
        </is>
      </c>
      <c r="C142" t="inlineStr">
        <is>
          <t>S.SHIPMENT_PRELOAD</t>
        </is>
      </c>
      <c r="D142" t="inlineStr">
        <is>
          <t>OA.SHIPMENT_PRELOAD</t>
        </is>
      </c>
      <c r="E142" t="inlineStr">
        <is>
          <t>SHIPMENT_PRELOAD</t>
        </is>
      </c>
      <c r="F142" t="inlineStr">
        <is>
          <t>PLP - COALESCE(plp4.SHIPMENT_PRELOAD, SOLF.SHIPMENT_PRELOAD); STG = NULL</t>
        </is>
      </c>
    </row>
    <row r="143" ht="15.75" customHeight="1">
      <c r="A143" s="9" t="inlineStr">
        <is>
          <t>SOA_SHIPPED_CASES</t>
        </is>
      </c>
      <c r="C143" t="inlineStr">
        <is>
          <t>S.SOA_SHIPPED_QUANTITY as SOA_SHIPPED_CASES</t>
        </is>
      </c>
      <c r="D143" t="inlineStr">
        <is>
          <t>CASE WHEN LATEST_CHANGE_FILTER='Y' THEN OA.SOA_SHIPPED_QUANTITY (capped at SALES_QTY: CASE WHEN SOA_SHIPPED_QUANTITY &gt; SALES_QTY THEN SALES_QTY ELSE SOA_SHIPPED_QUANTITY) ELSE 0 END</t>
        </is>
      </c>
      <c r="E143" t="inlineStr">
        <is>
          <t>SOA_SHIPPED_QUANTITY</t>
        </is>
      </c>
      <c r="F143" t="inlineStr">
        <is>
          <t>PLP - COALESCE(plp6.SOA_SHIPPED_QUANTITY, plp5.SOA_SHIPPED_QUANTITY, SOLF.SOA_SHIPPED_QUANTITY); STG SOA_SHIPPED_QUANTITY = 0</t>
        </is>
      </c>
    </row>
    <row r="144" ht="15.75" customHeight="1">
      <c r="A144" s="9" t="inlineStr">
        <is>
          <t>OREF_SCHEDULE_INSERT_USER</t>
        </is>
      </c>
      <c r="B144" t="inlineStr">
        <is>
          <t>Yes</t>
        </is>
      </c>
      <c r="C144" t="inlineStr">
        <is>
          <t>S.OREF_SCHEDULE_INSERT_USER</t>
        </is>
      </c>
      <c r="D144" t="inlineStr">
        <is>
          <t>OA.OREF_SCHEDULE_INSERT_USER</t>
        </is>
      </c>
      <c r="E144" t="inlineStr">
        <is>
          <t>OREF_SCHEDULE_INSERT_USER</t>
        </is>
      </c>
      <c r="F144" t="inlineStr">
        <is>
          <t>PLP - COALESCE(plp2.OREF_SCHEDULE_INSERT_USER, SOLF.OREF_SCHEDULE_INSERT_USER); STG = NULL</t>
        </is>
      </c>
    </row>
    <row r="145" ht="15.75" customHeight="1">
      <c r="A145" s="9" t="inlineStr">
        <is>
          <t>WITH_DRAW_USER_FLAG</t>
        </is>
      </c>
      <c r="B145" t="inlineStr">
        <is>
          <t>Yes</t>
        </is>
      </c>
      <c r="C145" t="inlineStr">
        <is>
          <t>S.WITH_DRAW_USER_FLAG</t>
        </is>
      </c>
      <c r="D145" t="inlineStr">
        <is>
          <t>OA.WITH_DRAW_USER_FLAG</t>
        </is>
      </c>
      <c r="E145" t="inlineStr">
        <is>
          <t>WITH_DRAW_USER_FLAG</t>
        </is>
      </c>
      <c r="F145" t="inlineStr">
        <is>
          <t>PLP - COALESCE(plp2.WITH_DRAW_USER_FLAG, SOLF.WITH_DRAW_USER_FLAG); STG = NULL</t>
        </is>
      </c>
    </row>
    <row r="146" ht="15.75" customHeight="1">
      <c r="A146" s="9" t="inlineStr">
        <is>
          <t>BALANCE_REQUESTED_CASES</t>
        </is>
      </c>
      <c r="C146" t="inlineStr">
        <is>
          <t>(S.ORIGINAL_REQUESTED_QTY - S.ACTUAL_CASES_REQUESTED) AS BALANCE_REQUESTED_CASES</t>
        </is>
      </c>
      <c r="D146" t="inlineStr">
        <is>
          <t>Derived in view from FSM columns: ORIGINAL_REQUESTED_QTY - ACTUAL_CASES_REQUESTED</t>
        </is>
      </c>
      <c r="E146" t="inlineStr">
        <is>
          <t>ORDERED_QTY, SALES_QTY (cases)</t>
        </is>
      </c>
      <c r="F146" t="inlineStr">
        <is>
          <t>STG: FulfillLine quantities</t>
        </is>
      </c>
    </row>
    <row r="147" ht="15.75" customHeight="1">
      <c r="A147" s="9" t="inlineStr">
        <is>
          <t>ROLLUP_ITEM</t>
        </is>
      </c>
      <c r="C147" t="inlineStr">
        <is>
          <t>I.X_ATTRIBUTE14 ROLLUP_ITEM</t>
        </is>
      </c>
      <c r="D147" t="inlineStr">
        <is>
          <t>Not stored in FSM - derived in view from DIM_INV_MASTER_ITEMS.X_ATTRIBUTE14</t>
        </is>
      </c>
      <c r="E147" t="inlineStr">
        <is>
          <t>SK_X_INVENTORY_PRODUCT_ID (FK)</t>
        </is>
      </c>
      <c r="F147" t="inlineStr">
        <is>
          <t>STG: INVENTORY_ITEM_ID - SHIP_FROM_ORG_ID</t>
        </is>
      </c>
    </row>
    <row r="148" ht="15.75" customHeight="1">
      <c r="A148" s="9" t="inlineStr">
        <is>
          <t>MTO_FLG</t>
        </is>
      </c>
      <c r="C148" t="inlineStr">
        <is>
          <t>S.MTO_FLG</t>
        </is>
      </c>
      <c r="D148" t="inlineStr">
        <is>
          <t>CASE WHEN OA.X_OLA_ATTRIBUTE16='MTO' THEN 1 ELSE 0 END AS MTO_FLG</t>
        </is>
      </c>
      <c r="E148" t="inlineStr">
        <is>
          <t>X_OLA_ATTRIBUTE16</t>
        </is>
      </c>
      <c r="F148" t="inlineStr">
        <is>
          <t>PLP - COALESCE(plp1.X_OLA_ATTRIBUTE16, SOLF.X_OLA_ATTRIBUTE16); STG: SQ_BCI_SALES_ORDLNS.X_OLA_ATTRIBUTE16</t>
        </is>
      </c>
    </row>
    <row r="149" ht="15.75" customHeight="1">
      <c r="A149" s="9" t="inlineStr">
        <is>
          <t>OSP</t>
        </is>
      </c>
      <c r="B149" t="inlineStr">
        <is>
          <t>Yes</t>
        </is>
      </c>
      <c r="C149" t="inlineStr">
        <is>
          <t>S.OSP</t>
        </is>
      </c>
      <c r="D149" t="inlineStr">
        <is>
          <t>OA.SK_OSP_ID AS OSP</t>
        </is>
      </c>
      <c r="E149" t="inlineStr">
        <is>
          <t>SK_OSP_ID</t>
        </is>
      </c>
      <c r="F149" t="inlineStr">
        <is>
          <t>PLP - COALESCE(plp2.SK_OSP_ID, -1); STG = -2 (cast as BIGINT). Actual values from PLP.</t>
        </is>
      </c>
    </row>
    <row r="150" ht="15.75" customHeight="1">
      <c r="A150" s="9" t="inlineStr">
        <is>
          <t>MOSP</t>
        </is>
      </c>
      <c r="B150" t="inlineStr">
        <is>
          <t>Yes</t>
        </is>
      </c>
      <c r="C150" t="inlineStr">
        <is>
          <t>S.MOSP</t>
        </is>
      </c>
      <c r="D150" t="inlineStr">
        <is>
          <t>OA.SK_MOSP_ID AS MOSP</t>
        </is>
      </c>
      <c r="E150" t="inlineStr">
        <is>
          <t>SK_MOSP_ID</t>
        </is>
      </c>
      <c r="F150" t="inlineStr">
        <is>
          <t>PLP - COALESCE(plp2.SK_MOSP_ID, -1); STG default. Actual values from PLP.</t>
        </is>
      </c>
    </row>
    <row r="151" ht="15.75" customHeight="1">
      <c r="A151" s="9" t="inlineStr">
        <is>
          <t>PUA_REASON_CODE</t>
        </is>
      </c>
      <c r="C151" t="inlineStr">
        <is>
          <t>S.PUA_REASON_CODE</t>
        </is>
      </c>
      <c r="D151" t="inlineStr">
        <is>
          <t>CASE WHEN STATUS IN ('CANCELLED','CANCELED') THEN FIRST_VALUE(FIRST_CANCELLED_REASON_CODE) OVER(PARTITION BY ORDER_NUMBER,LINE_NUMBER ORDER BY HIST_CREATION_DATE ASC) ELSE FIRST_VALUE(FIRST_REASON_CODE) END. FIRST_REASON_CODE / FIRST_CANCELLED_REASON_CODE are window functions over OHA.REASON_CODE for specific Niagara codes (03,06,09,10,12,16,26)</t>
        </is>
      </c>
      <c r="E151" t="inlineStr">
        <is>
          <t>(derived in FSM from FACT_ORDER_HISTORY_ACTIVITY.REASON_CODE)</t>
        </is>
      </c>
      <c r="F151" t="inlineStr">
        <is>
          <t>N/A - derived in FSM</t>
        </is>
      </c>
    </row>
  </sheetData>
  <conditionalFormatting sqref="E1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2" sqref="A2"/>
    </sheetView>
  </sheetViews>
  <sheetFormatPr baseColWidth="8" defaultRowHeight="15"/>
  <cols>
    <col width="32.140625" bestFit="1" customWidth="1" min="1" max="1"/>
    <col width="43.28515625" bestFit="1" customWidth="1" min="2" max="2"/>
    <col width="23.7109375" bestFit="1" customWidth="1" min="3" max="3"/>
    <col width="33.140625" bestFit="1" customWidth="1" min="4" max="4"/>
    <col width="30.42578125" bestFit="1" customWidth="1" min="5" max="5"/>
    <col width="30" bestFit="1" customWidth="1" min="6" max="7"/>
  </cols>
  <sheetData>
    <row r="1">
      <c r="A1" s="5" t="inlineStr">
        <is>
          <t xml:space="preserve">Column Name </t>
        </is>
      </c>
      <c r="B1" s="5" t="inlineStr">
        <is>
          <t>Final Source</t>
        </is>
      </c>
      <c r="C1" s="5" t="inlineStr">
        <is>
          <t>SAMPLE ORDER NUMBER</t>
        </is>
      </c>
      <c r="D1" s="5" t="inlineStr">
        <is>
          <t>Value in FACT_SERVICE_METRICS_V</t>
        </is>
      </c>
      <c r="E1" s="5" t="inlineStr">
        <is>
          <t>Value in Source</t>
        </is>
      </c>
      <c r="F1" s="5" t="inlineStr">
        <is>
          <t>Value is Sales Order Fact</t>
        </is>
      </c>
      <c r="G1" s="5" t="inlineStr">
        <is>
          <t>Value in Sevice Metrics Fact</t>
        </is>
      </c>
    </row>
    <row r="2" customFormat="1" s="3">
      <c r="A2" s="6" t="inlineStr">
        <is>
          <t>FINAL_PROMISE_DATE_LOCAL</t>
        </is>
      </c>
      <c r="B2" s="6" t="inlineStr">
        <is>
          <t>DOO_FULFILL_LINES_EFF_B.ATTRIBUTE_DATE1</t>
        </is>
      </c>
      <c r="C2" s="6" t="n">
        <v>41748244</v>
      </c>
      <c r="D2" s="6" t="inlineStr">
        <is>
          <t>2026-05-10T00:00:00.000-07:00</t>
        </is>
      </c>
      <c r="E2" s="6" t="inlineStr">
        <is>
          <t>2026-05-10T00:00:00.000+00:00</t>
        </is>
      </c>
      <c r="F2" s="6" t="inlineStr">
        <is>
          <t>2026-05-09T17:00:00.000-07:00</t>
        </is>
      </c>
      <c r="G2" s="6" t="inlineStr">
        <is>
          <t>2026-05-09T17:00:00.000-07:00</t>
        </is>
      </c>
    </row>
    <row r="3" customFormat="1" s="3">
      <c r="A3" s="6" t="inlineStr">
        <is>
          <t>FINAL_PROMISE_DATE_PST</t>
        </is>
      </c>
      <c r="B3" s="6" t="inlineStr">
        <is>
          <t>DOO_FULFILL_LINES_EFF_B.ATTRIBUTE_DATE1</t>
        </is>
      </c>
      <c r="C3" s="6" t="n">
        <v>41748244</v>
      </c>
      <c r="D3" s="6" t="inlineStr">
        <is>
          <t>2026-05-09T20:00:00.000-07:00</t>
        </is>
      </c>
      <c r="E3" s="6" t="inlineStr">
        <is>
          <t>2026-05-10T00:00:00.000+00:00</t>
        </is>
      </c>
      <c r="F3" s="6" t="inlineStr">
        <is>
          <t>2026-05-09T17:00:00.000-07:00</t>
        </is>
      </c>
      <c r="G3" s="6" t="inlineStr">
        <is>
          <t>2026-05-09T17:00:00.000-07:00</t>
        </is>
      </c>
    </row>
    <row r="4" ht="45.75" customHeight="1">
      <c r="A4" s="7" t="inlineStr">
        <is>
          <t>FINAL_REQUEST_DATE_LOCAL</t>
        </is>
      </c>
      <c r="B4" s="8" t="inlineStr">
        <is>
          <t>COALESCE(FulfillLine.FULFILLLINEREQUESTSHIPDATE,FulfillLine.FULFILLLINEREQUESTARRIVALDATE)</t>
        </is>
      </c>
      <c r="C4" s="7" t="n">
        <v>41748244</v>
      </c>
      <c r="D4" s="7" t="inlineStr">
        <is>
          <t>2026-05-11T05:00:00.000-07:00</t>
        </is>
      </c>
      <c r="E4" s="7" t="inlineStr">
        <is>
          <t>2026-05-11T05:00:00.000+00:00</t>
        </is>
      </c>
      <c r="F4" s="7" t="inlineStr">
        <is>
          <t>2026-05-11T05:00:00.000-07:00</t>
        </is>
      </c>
      <c r="G4" s="7" t="inlineStr">
        <is>
          <t>2026-05-11T05:00:00.000-07:00</t>
        </is>
      </c>
    </row>
    <row r="5" ht="45.75" customHeight="1">
      <c r="A5" s="7" t="inlineStr">
        <is>
          <t>FINAL_REQUEST_DATE_PST</t>
        </is>
      </c>
      <c r="B5" s="8" t="inlineStr">
        <is>
          <t>COALESCE(FulfillLine.FULFILLLINEREQUESTSHIPDATE,FulfillLine.FULFILLLINEREQUESTARRIVALDATE)</t>
        </is>
      </c>
      <c r="C5" s="7" t="n">
        <v>41748244</v>
      </c>
      <c r="D5" s="7" t="inlineStr">
        <is>
          <t>2026-05-10T22:00:00.000-07:00</t>
        </is>
      </c>
      <c r="E5" s="7" t="inlineStr">
        <is>
          <t>2026-05-11T05:00:00.000+00:00</t>
        </is>
      </c>
      <c r="F5" s="7" t="inlineStr">
        <is>
          <t>2026-05-10T22:00:00.000-07:00</t>
        </is>
      </c>
      <c r="G5" s="7" t="inlineStr">
        <is>
          <t>2026-05-10T22:00:00.000-07:00</t>
        </is>
      </c>
    </row>
    <row r="6">
      <c r="A6" s="7" t="inlineStr">
        <is>
          <t>HISTORICAL_CREATION_DATE_PST</t>
        </is>
      </c>
      <c r="B6" s="7" t="inlineStr">
        <is>
          <t>DOO_LINES_ALL.LINECREATIONDATE</t>
        </is>
      </c>
      <c r="C6" s="7" t="n">
        <v>41748244</v>
      </c>
      <c r="D6" s="6" t="inlineStr">
        <is>
          <t>2026-04-20T20:00:02.000-07:00</t>
        </is>
      </c>
      <c r="E6" s="6" t="inlineStr">
        <is>
          <t>2026-04-20T20:00:02.817+00:00</t>
        </is>
      </c>
      <c r="F6" s="7" t="inlineStr">
        <is>
          <t>2026-04-20T20:00:02.000-07:00</t>
        </is>
      </c>
      <c r="G6" s="7" t="inlineStr">
        <is>
          <t>2026-04-20T20:00:02.000-07:00</t>
        </is>
      </c>
    </row>
    <row r="7" ht="30.75" customHeight="1">
      <c r="A7" s="7" t="inlineStr">
        <is>
          <t>LINE_CREATED_ON_DT</t>
        </is>
      </c>
      <c r="B7" s="8" t="inlineStr">
        <is>
          <t>DOO_LINES_ALL.LINECREATIONDATE  (as seen in prior column converted to src timezone)</t>
        </is>
      </c>
      <c r="C7" s="7" t="n">
        <v>41748244</v>
      </c>
      <c r="D7" s="7" t="inlineStr">
        <is>
          <t>2026-04-20T20:00:02.000-07:00</t>
        </is>
      </c>
      <c r="E7" s="6" t="inlineStr">
        <is>
          <t>2026-04-20T20:00:02.817+00:00</t>
        </is>
      </c>
      <c r="F7" s="7" t="inlineStr">
        <is>
          <t>2026-04-20T20:00:02.000-07:00</t>
        </is>
      </c>
      <c r="G7" s="7" t="inlineStr">
        <is>
          <t>2026-04-20T20:00:02.000-07:00</t>
        </is>
      </c>
    </row>
    <row r="8" ht="45.75" customHeight="1">
      <c r="A8" s="7" t="inlineStr">
        <is>
          <t>ORDER_CREATION_DATE_DEST</t>
        </is>
      </c>
      <c r="B8" s="8" t="inlineStr">
        <is>
          <t>DOO_LINES_ALL.LINECREATIONDATE  (as seen in prior column converted to cust shite timezone)</t>
        </is>
      </c>
      <c r="C8" s="7" t="n">
        <v>41748244</v>
      </c>
      <c r="D8" s="7" t="inlineStr">
        <is>
          <t>2026-04-20T23:00:02.000-07:00</t>
        </is>
      </c>
      <c r="E8" s="6" t="inlineStr">
        <is>
          <t>2026-04-20T20:00:02.817+00:00</t>
        </is>
      </c>
      <c r="F8" s="6" t="inlineStr">
        <is>
          <t>2026-04-20T23:00:02.000-07:00</t>
        </is>
      </c>
      <c r="G8" s="7" t="inlineStr">
        <is>
          <t>2026-04-20T23:00:02.000-07:00</t>
        </is>
      </c>
    </row>
    <row r="9">
      <c r="A9" s="7" t="inlineStr">
        <is>
          <t>ORDER_CREATION_DATE_LOCAL</t>
        </is>
      </c>
      <c r="B9" s="7" t="n"/>
      <c r="C9" s="7" t="n">
        <v>41748244</v>
      </c>
      <c r="D9" s="7" t="inlineStr">
        <is>
          <t>2026-04-20T20:00:02.000-07:00</t>
        </is>
      </c>
      <c r="E9" s="6" t="inlineStr">
        <is>
          <t>2026-04-20T20:00:02.817+00:00</t>
        </is>
      </c>
      <c r="F9" s="7" t="inlineStr">
        <is>
          <t>2026-04-20T20:00:02.000-07:00</t>
        </is>
      </c>
      <c r="G9" s="7" t="inlineStr">
        <is>
          <t>2026-04-20T20:00:02.000-07:00</t>
        </is>
      </c>
    </row>
    <row r="10">
      <c r="A10" s="7" t="inlineStr">
        <is>
          <t>ORDER_CREATION_DATE_PST</t>
        </is>
      </c>
      <c r="B10" s="7" t="inlineStr">
        <is>
          <t>DOO_LINES_ALL.LINECREATIONDATE</t>
        </is>
      </c>
      <c r="C10" s="7" t="n">
        <v>41748244</v>
      </c>
      <c r="D10" s="7" t="inlineStr">
        <is>
          <t>2026-04-20T13:00:02.000-07:00</t>
        </is>
      </c>
      <c r="E10" s="7" t="inlineStr">
        <is>
          <t>2026-04-20T20:00:02.817+00:00</t>
        </is>
      </c>
      <c r="F10" s="7" t="inlineStr">
        <is>
          <t>2026-04-20T20:00:02.000-07:00</t>
        </is>
      </c>
      <c r="G10" s="7" t="inlineStr">
        <is>
          <t>2026-04-20T13:00:02.000-07:00</t>
        </is>
      </c>
    </row>
    <row r="11">
      <c r="A11" s="7" t="inlineStr">
        <is>
          <t>ORDERED_ON_DT</t>
        </is>
      </c>
      <c r="B11" s="7" t="inlineStr">
        <is>
          <t>DOO_HEADERS_ALL.HEADERORDEREDDATE</t>
        </is>
      </c>
      <c r="C11" s="7" t="n">
        <v>41748244</v>
      </c>
      <c r="D11" s="7" t="inlineStr">
        <is>
          <t>2026-04-20T07:00:00.000-07:00</t>
        </is>
      </c>
      <c r="E11" s="7" t="inlineStr">
        <is>
          <t>2026-04-20T07:00:00.000+00:00</t>
        </is>
      </c>
      <c r="F11" s="7" t="inlineStr">
        <is>
          <t>2026-04-20T07:00:00.000-07:00</t>
        </is>
      </c>
      <c r="G11" s="7" t="inlineStr">
        <is>
          <t>2026-04-20T07:00:00.000-07:00</t>
        </is>
      </c>
    </row>
    <row r="12" ht="45.75" customHeight="1">
      <c r="A12" s="7" t="inlineStr">
        <is>
          <t>ORIGINAL_REQUEST_DATE_LOCAL</t>
        </is>
      </c>
      <c r="B12" s="8" t="inlineStr">
        <is>
          <t>COALESCE(FulfillLine.FULFILLLINEREQUESTSHIPDATE,FulfillLine.FULFILLLINEREQUESTARRIVALDATE)</t>
        </is>
      </c>
      <c r="C12" s="7" t="n">
        <v>41748244</v>
      </c>
      <c r="D12" s="7" t="inlineStr">
        <is>
          <t>2026-05-01T07:00:00.000-07:00</t>
        </is>
      </c>
      <c r="E12" s="7" t="inlineStr">
        <is>
          <t>2026-05-01T07:00:00.000+00:00</t>
        </is>
      </c>
      <c r="F12" s="7" t="inlineStr">
        <is>
          <t>2026-05-01T07:00:00.000-07:00</t>
        </is>
      </c>
      <c r="G12" s="7" t="inlineStr">
        <is>
          <t>2026-05-01T07:00:00.000-07:00</t>
        </is>
      </c>
    </row>
    <row r="13" ht="45.75" customHeight="1">
      <c r="A13" s="7" t="inlineStr">
        <is>
          <t>ORIGINAL_REQUEST_DATE_PST</t>
        </is>
      </c>
      <c r="B13" s="8" t="inlineStr">
        <is>
          <t>COALESCE(FulfillLine.FULFILLLINEREQUESTSHIPDATE,FulfillLine.FULFILLLINEREQUESTARRIVALDATE)</t>
        </is>
      </c>
      <c r="C13" s="7" t="n">
        <v>41748244</v>
      </c>
      <c r="D13" s="7" t="inlineStr">
        <is>
          <t>2026-05-01T00:00:00.000-07:00</t>
        </is>
      </c>
      <c r="E13" s="7" t="inlineStr">
        <is>
          <t>2026-05-01T07:00:00.000+00:00</t>
        </is>
      </c>
      <c r="F13" s="7" t="inlineStr">
        <is>
          <t>2026-05-01T07:00:00.000-07:00</t>
        </is>
      </c>
      <c r="G13" s="7" t="inlineStr">
        <is>
          <t>2026-05-01T00:00:00.000-07:00</t>
        </is>
      </c>
    </row>
    <row r="14">
      <c r="A14" s="7" t="inlineStr">
        <is>
          <t>PROMISE_DATE_FROM</t>
        </is>
      </c>
      <c r="B14" s="7" t="n"/>
      <c r="C14" s="7" t="n"/>
      <c r="D14" s="7" t="n"/>
      <c r="E14" s="7" t="n"/>
      <c r="F14" s="7" t="n"/>
      <c r="G14" s="7" t="n"/>
    </row>
    <row r="15">
      <c r="A15" s="7" t="inlineStr">
        <is>
          <t>PROMISE_DATE_TO</t>
        </is>
      </c>
      <c r="B15" s="7" t="n"/>
      <c r="C15" s="7" t="n"/>
      <c r="D15" s="7" t="n"/>
      <c r="E15" s="7" t="n"/>
      <c r="F15" s="7" t="n"/>
      <c r="G15" s="7" t="n"/>
    </row>
    <row r="16">
      <c r="A16" s="7" t="inlineStr">
        <is>
          <t>REQUEST_DATE_FROM</t>
        </is>
      </c>
      <c r="B16" s="7" t="n"/>
      <c r="C16" s="7" t="n"/>
      <c r="D16" s="7" t="n"/>
      <c r="E16" s="7" t="n"/>
      <c r="F16" s="7" t="n"/>
      <c r="G16" s="7" t="n"/>
    </row>
    <row r="17">
      <c r="A17" s="7" t="inlineStr">
        <is>
          <t>REQUEST_DATE_TO</t>
        </is>
      </c>
      <c r="B17" s="7" t="n"/>
      <c r="C17" s="7" t="n"/>
      <c r="D17" s="7" t="n"/>
      <c r="E17" s="7" t="n"/>
      <c r="F17" s="7" t="n"/>
      <c r="G17" s="7" t="n"/>
    </row>
    <row r="18">
      <c r="A18" s="7" t="inlineStr">
        <is>
          <t>SHIP_CONFIRM_DATE_LOCAL</t>
        </is>
      </c>
      <c r="B18" s="7" t="inlineStr">
        <is>
          <t>wsh_New_Deliveries.ship_confirm_Date</t>
        </is>
      </c>
      <c r="C18" s="7" t="n"/>
      <c r="D18" s="7" t="inlineStr">
        <is>
          <t>2026-05-10T17:08:21.000-07:00</t>
        </is>
      </c>
      <c r="E18" s="7" t="inlineStr">
        <is>
          <t>2026-05-10T21:08:21.000+00:00</t>
        </is>
      </c>
      <c r="F18" s="7" t="n"/>
      <c r="G18" s="7" t="inlineStr">
        <is>
          <t>2026-05-10T17:08:21.000-07:00</t>
        </is>
      </c>
    </row>
    <row r="19">
      <c r="A19" s="7" t="inlineStr">
        <is>
          <t>SHIP_CONFIRM_DATE_PST</t>
        </is>
      </c>
      <c r="B19" s="7" t="n"/>
      <c r="C19" s="7" t="n"/>
      <c r="D19" s="7" t="inlineStr">
        <is>
          <t>2026-05-10T17:08:21.000-07:00</t>
        </is>
      </c>
      <c r="E19" s="7" t="inlineStr">
        <is>
          <t>2026-05-10T21:08:21.000+00:00</t>
        </is>
      </c>
      <c r="F19" s="7" t="n"/>
      <c r="G19" s="7" t="inlineStr">
        <is>
          <t>2026-05-10T17:08:21.000-07:00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NagaSowmya</dc:creator>
  <dcterms:created xsi:type="dcterms:W3CDTF">2026-04-30T07:33:20Z</dcterms:created>
  <dcterms:modified xsi:type="dcterms:W3CDTF">2026-05-26T11:30:26Z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0x0101002A6B7A9A6AE82F49A59B73451720FDAB</vt:lpwstr>
  </property>
  <property name="MediaServiceImageTags" fmtid="{D5CDD505-2E9C-101B-9397-08002B2CF9AE}" pid="3">
    <vt:lpwstr/>
  </property>
</Properties>
</file>